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Z:\Research work\3-Network research\"/>
    </mc:Choice>
  </mc:AlternateContent>
  <xr:revisionPtr revIDLastSave="0" documentId="13_ncr:1_{D53E44DD-5EE9-449B-A0FD-A8C20B2DD920}" xr6:coauthVersionLast="47" xr6:coauthVersionMax="47" xr10:uidLastSave="{00000000-0000-0000-0000-000000000000}"/>
  <bookViews>
    <workbookView xWindow="-18120" yWindow="-120" windowWidth="18240" windowHeight="28320" activeTab="1" xr2:uid="{00000000-000D-0000-FFFF-FFFF00000000}"/>
  </bookViews>
  <sheets>
    <sheet name="Network matrices" sheetId="1" r:id="rId1"/>
    <sheet name="Sheet1" sheetId="3" r:id="rId2"/>
    <sheet name="Referenc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5" i="3" l="1"/>
  <c r="H65" i="3"/>
  <c r="G65" i="3"/>
  <c r="F65" i="3"/>
  <c r="E65" i="3"/>
  <c r="D65" i="3"/>
  <c r="C65" i="3"/>
  <c r="B65" i="3"/>
  <c r="J65" i="3" s="1"/>
  <c r="J64" i="3"/>
  <c r="J63" i="3"/>
  <c r="J62" i="3"/>
  <c r="J61" i="3"/>
  <c r="J60" i="3"/>
  <c r="J59" i="3"/>
  <c r="J58" i="3"/>
  <c r="J57" i="3"/>
  <c r="I54" i="3"/>
  <c r="H54" i="3"/>
  <c r="G54" i="3"/>
  <c r="F54" i="3"/>
  <c r="E54" i="3"/>
  <c r="D54" i="3"/>
  <c r="C54" i="3"/>
  <c r="B54" i="3"/>
  <c r="J53" i="3"/>
  <c r="J52" i="3"/>
  <c r="J51" i="3"/>
  <c r="J50" i="3"/>
  <c r="J49" i="3"/>
  <c r="J48" i="3"/>
  <c r="J47" i="3"/>
  <c r="J46" i="3"/>
  <c r="I43" i="3"/>
  <c r="H43" i="3"/>
  <c r="G43" i="3"/>
  <c r="F43" i="3"/>
  <c r="E43" i="3"/>
  <c r="D43" i="3"/>
  <c r="C43" i="3"/>
  <c r="B43" i="3"/>
  <c r="J42" i="3"/>
  <c r="J41" i="3"/>
  <c r="J40" i="3"/>
  <c r="J39" i="3"/>
  <c r="J38" i="3"/>
  <c r="J37" i="3"/>
  <c r="J36" i="3"/>
  <c r="J35" i="3"/>
  <c r="I32" i="3"/>
  <c r="H32" i="3"/>
  <c r="G32" i="3"/>
  <c r="J32" i="3" s="1"/>
  <c r="F32" i="3"/>
  <c r="E32" i="3"/>
  <c r="D32" i="3"/>
  <c r="C32" i="3"/>
  <c r="B32" i="3"/>
  <c r="J31" i="3"/>
  <c r="J30" i="3"/>
  <c r="J29" i="3"/>
  <c r="J28" i="3"/>
  <c r="J27" i="3"/>
  <c r="J26" i="3"/>
  <c r="J25" i="3"/>
  <c r="J24" i="3"/>
  <c r="I21" i="3"/>
  <c r="H21" i="3"/>
  <c r="G21" i="3"/>
  <c r="F21" i="3"/>
  <c r="E21" i="3"/>
  <c r="D21" i="3"/>
  <c r="C21" i="3"/>
  <c r="B21" i="3"/>
  <c r="J21" i="3" s="1"/>
  <c r="J20" i="3"/>
  <c r="J19" i="3"/>
  <c r="J18" i="3"/>
  <c r="J17" i="3"/>
  <c r="J16" i="3"/>
  <c r="J15" i="3"/>
  <c r="J14" i="3"/>
  <c r="J13" i="3"/>
  <c r="I10" i="3"/>
  <c r="H10" i="3"/>
  <c r="G10" i="3"/>
  <c r="F10" i="3"/>
  <c r="E10" i="3"/>
  <c r="D10" i="3"/>
  <c r="C10" i="3"/>
  <c r="B10" i="3"/>
  <c r="J10" i="3" s="1"/>
  <c r="J9" i="3"/>
  <c r="J8" i="3"/>
  <c r="J7" i="3"/>
  <c r="J6" i="3"/>
  <c r="J5" i="3"/>
  <c r="J4" i="3"/>
  <c r="J3" i="3"/>
  <c r="J2" i="3"/>
  <c r="O220" i="1"/>
  <c r="H219" i="1"/>
  <c r="F219" i="1"/>
  <c r="I218" i="1"/>
  <c r="H218" i="1"/>
  <c r="G218" i="1"/>
  <c r="F218" i="1"/>
  <c r="E218" i="1"/>
  <c r="D218" i="1"/>
  <c r="C218" i="1"/>
  <c r="L218" i="1" s="1"/>
  <c r="I217" i="1"/>
  <c r="H217" i="1"/>
  <c r="G217" i="1"/>
  <c r="F217" i="1"/>
  <c r="E217" i="1"/>
  <c r="D217" i="1"/>
  <c r="C217" i="1"/>
  <c r="L217" i="1" s="1"/>
  <c r="L216" i="1"/>
  <c r="J216" i="1"/>
  <c r="I216" i="1"/>
  <c r="I219" i="1" s="1"/>
  <c r="H216" i="1"/>
  <c r="G216" i="1"/>
  <c r="G219" i="1" s="1"/>
  <c r="F216" i="1"/>
  <c r="E216" i="1"/>
  <c r="D216" i="1"/>
  <c r="C216" i="1"/>
  <c r="C219" i="1" s="1"/>
  <c r="L214" i="1"/>
  <c r="N213" i="1"/>
  <c r="M213" i="1"/>
  <c r="L213" i="1"/>
  <c r="N212" i="1"/>
  <c r="M212" i="1"/>
  <c r="L212" i="1"/>
  <c r="N211" i="1"/>
  <c r="M211" i="1"/>
  <c r="L211" i="1"/>
  <c r="N210" i="1"/>
  <c r="M210" i="1"/>
  <c r="L210" i="1"/>
  <c r="N209" i="1"/>
  <c r="M209" i="1"/>
  <c r="L209" i="1"/>
  <c r="L221" i="1" s="1"/>
  <c r="N208" i="1"/>
  <c r="N219" i="1" s="1"/>
  <c r="M208" i="1"/>
  <c r="L208" i="1"/>
  <c r="D219" i="1" s="1"/>
  <c r="N207" i="1"/>
  <c r="M207" i="1"/>
  <c r="M219" i="1" s="1"/>
  <c r="L207" i="1"/>
  <c r="M203" i="1"/>
  <c r="O198" i="1"/>
  <c r="D197" i="1"/>
  <c r="I196" i="1"/>
  <c r="H196" i="1"/>
  <c r="G196" i="1"/>
  <c r="F196" i="1"/>
  <c r="E196" i="1"/>
  <c r="D196" i="1"/>
  <c r="L196" i="1" s="1"/>
  <c r="C196" i="1"/>
  <c r="I195" i="1"/>
  <c r="H195" i="1"/>
  <c r="G195" i="1"/>
  <c r="F195" i="1"/>
  <c r="L195" i="1" s="1"/>
  <c r="E195" i="1"/>
  <c r="D195" i="1"/>
  <c r="C195" i="1"/>
  <c r="J194" i="1"/>
  <c r="I194" i="1"/>
  <c r="I197" i="1" s="1"/>
  <c r="H194" i="1"/>
  <c r="H197" i="1" s="1"/>
  <c r="G194" i="1"/>
  <c r="F194" i="1"/>
  <c r="F197" i="1" s="1"/>
  <c r="E194" i="1"/>
  <c r="E197" i="1" s="1"/>
  <c r="D194" i="1"/>
  <c r="C194" i="1"/>
  <c r="L192" i="1"/>
  <c r="N191" i="1"/>
  <c r="M191" i="1"/>
  <c r="L191" i="1"/>
  <c r="N190" i="1"/>
  <c r="M190" i="1"/>
  <c r="L190" i="1"/>
  <c r="N189" i="1"/>
  <c r="M189" i="1"/>
  <c r="L189" i="1"/>
  <c r="G197" i="1" s="1"/>
  <c r="N188" i="1"/>
  <c r="M188" i="1"/>
  <c r="L188" i="1"/>
  <c r="N187" i="1"/>
  <c r="M187" i="1"/>
  <c r="L187" i="1"/>
  <c r="N186" i="1"/>
  <c r="M186" i="1"/>
  <c r="L186" i="1"/>
  <c r="N185" i="1"/>
  <c r="N197" i="1" s="1"/>
  <c r="M185" i="1"/>
  <c r="M197" i="1" s="1"/>
  <c r="L185" i="1"/>
  <c r="L197" i="1" s="1"/>
  <c r="M181" i="1"/>
  <c r="H175" i="1"/>
  <c r="G175" i="1"/>
  <c r="D175" i="1"/>
  <c r="I174" i="1"/>
  <c r="H174" i="1"/>
  <c r="G174" i="1"/>
  <c r="F174" i="1"/>
  <c r="E174" i="1"/>
  <c r="D174" i="1"/>
  <c r="C174" i="1"/>
  <c r="L174" i="1" s="1"/>
  <c r="I173" i="1"/>
  <c r="H173" i="1"/>
  <c r="G173" i="1"/>
  <c r="F173" i="1"/>
  <c r="E173" i="1"/>
  <c r="D173" i="1"/>
  <c r="C173" i="1"/>
  <c r="L173" i="1" s="1"/>
  <c r="J172" i="1"/>
  <c r="I172" i="1"/>
  <c r="I175" i="1" s="1"/>
  <c r="H172" i="1"/>
  <c r="G172" i="1"/>
  <c r="F172" i="1"/>
  <c r="F175" i="1" s="1"/>
  <c r="E172" i="1"/>
  <c r="E175" i="1" s="1"/>
  <c r="D172" i="1"/>
  <c r="C172" i="1"/>
  <c r="C175" i="1" s="1"/>
  <c r="L170" i="1"/>
  <c r="N169" i="1"/>
  <c r="M169" i="1"/>
  <c r="L169" i="1"/>
  <c r="N168" i="1"/>
  <c r="M168" i="1"/>
  <c r="L168" i="1"/>
  <c r="N167" i="1"/>
  <c r="M167" i="1"/>
  <c r="L167" i="1"/>
  <c r="N166" i="1"/>
  <c r="M166" i="1"/>
  <c r="L166" i="1"/>
  <c r="N165" i="1"/>
  <c r="M165" i="1"/>
  <c r="L165" i="1"/>
  <c r="L175" i="1" s="1"/>
  <c r="N164" i="1"/>
  <c r="N175" i="1" s="1"/>
  <c r="M164" i="1"/>
  <c r="M175" i="1" s="1"/>
  <c r="L164" i="1"/>
  <c r="N163" i="1"/>
  <c r="M163" i="1"/>
  <c r="L163" i="1"/>
  <c r="L177" i="1" s="1"/>
  <c r="M159" i="1"/>
  <c r="I152" i="1"/>
  <c r="H152" i="1"/>
  <c r="G152" i="1"/>
  <c r="F152" i="1"/>
  <c r="E152" i="1"/>
  <c r="D152" i="1"/>
  <c r="L152" i="1" s="1"/>
  <c r="C152" i="1"/>
  <c r="I151" i="1"/>
  <c r="H151" i="1"/>
  <c r="G151" i="1"/>
  <c r="L151" i="1" s="1"/>
  <c r="F151" i="1"/>
  <c r="E151" i="1"/>
  <c r="D151" i="1"/>
  <c r="C151" i="1"/>
  <c r="J150" i="1"/>
  <c r="I150" i="1"/>
  <c r="H150" i="1"/>
  <c r="H153" i="1" s="1"/>
  <c r="G150" i="1"/>
  <c r="G153" i="1" s="1"/>
  <c r="F150" i="1"/>
  <c r="F153" i="1" s="1"/>
  <c r="E150" i="1"/>
  <c r="E153" i="1" s="1"/>
  <c r="D150" i="1"/>
  <c r="D153" i="1" s="1"/>
  <c r="C150" i="1"/>
  <c r="O154" i="1" s="1"/>
  <c r="L148" i="1"/>
  <c r="N147" i="1"/>
  <c r="M147" i="1"/>
  <c r="L147" i="1"/>
  <c r="I153" i="1" s="1"/>
  <c r="N146" i="1"/>
  <c r="M146" i="1"/>
  <c r="L146" i="1"/>
  <c r="N145" i="1"/>
  <c r="M145" i="1"/>
  <c r="L145" i="1"/>
  <c r="N144" i="1"/>
  <c r="M144" i="1"/>
  <c r="L144" i="1"/>
  <c r="N143" i="1"/>
  <c r="M143" i="1"/>
  <c r="L143" i="1"/>
  <c r="N142" i="1"/>
  <c r="M142" i="1"/>
  <c r="L142" i="1"/>
  <c r="N141" i="1"/>
  <c r="N153" i="1" s="1"/>
  <c r="M141" i="1"/>
  <c r="M153" i="1" s="1"/>
  <c r="L141" i="1"/>
  <c r="L155" i="1" s="1"/>
  <c r="M137" i="1"/>
  <c r="H129" i="1"/>
  <c r="I128" i="1"/>
  <c r="H128" i="1"/>
  <c r="G128" i="1"/>
  <c r="F128" i="1"/>
  <c r="E128" i="1"/>
  <c r="D128" i="1"/>
  <c r="C128" i="1"/>
  <c r="L128" i="1" s="1"/>
  <c r="I127" i="1"/>
  <c r="H127" i="1"/>
  <c r="F127" i="1"/>
  <c r="E127" i="1"/>
  <c r="D127" i="1"/>
  <c r="C127" i="1"/>
  <c r="J126" i="1"/>
  <c r="H126" i="1"/>
  <c r="E126" i="1"/>
  <c r="E129" i="1" s="1"/>
  <c r="D126" i="1"/>
  <c r="C124" i="1"/>
  <c r="L124" i="1" s="1"/>
  <c r="N123" i="1"/>
  <c r="M123" i="1"/>
  <c r="L123" i="1"/>
  <c r="I129" i="1" s="1"/>
  <c r="N122" i="1"/>
  <c r="M122" i="1"/>
  <c r="L122" i="1"/>
  <c r="N121" i="1"/>
  <c r="M121" i="1"/>
  <c r="L121" i="1"/>
  <c r="N120" i="1"/>
  <c r="N119" i="1"/>
  <c r="M119" i="1"/>
  <c r="L119" i="1"/>
  <c r="N118" i="1"/>
  <c r="F118" i="1"/>
  <c r="G120" i="1" s="1"/>
  <c r="N117" i="1"/>
  <c r="N129" i="1" s="1"/>
  <c r="M117" i="1"/>
  <c r="L117" i="1"/>
  <c r="M113" i="1"/>
  <c r="G107" i="1"/>
  <c r="E107" i="1"/>
  <c r="I106" i="1"/>
  <c r="H106" i="1"/>
  <c r="G106" i="1"/>
  <c r="F106" i="1"/>
  <c r="E106" i="1"/>
  <c r="D106" i="1"/>
  <c r="C106" i="1"/>
  <c r="L106" i="1" s="1"/>
  <c r="I105" i="1"/>
  <c r="L105" i="1" s="1"/>
  <c r="H105" i="1"/>
  <c r="G105" i="1"/>
  <c r="F105" i="1"/>
  <c r="E105" i="1"/>
  <c r="D105" i="1"/>
  <c r="C105" i="1"/>
  <c r="J104" i="1"/>
  <c r="I104" i="1"/>
  <c r="I107" i="1" s="1"/>
  <c r="H104" i="1"/>
  <c r="H107" i="1" s="1"/>
  <c r="G104" i="1"/>
  <c r="F104" i="1"/>
  <c r="E104" i="1"/>
  <c r="D104" i="1"/>
  <c r="C102" i="1"/>
  <c r="C104" i="1" s="1"/>
  <c r="N101" i="1"/>
  <c r="M101" i="1"/>
  <c r="L101" i="1"/>
  <c r="N100" i="1"/>
  <c r="M100" i="1"/>
  <c r="M107" i="1" s="1"/>
  <c r="L100" i="1"/>
  <c r="N99" i="1"/>
  <c r="M99" i="1"/>
  <c r="L99" i="1"/>
  <c r="N98" i="1"/>
  <c r="M98" i="1"/>
  <c r="L98" i="1"/>
  <c r="F107" i="1" s="1"/>
  <c r="N97" i="1"/>
  <c r="N107" i="1" s="1"/>
  <c r="M97" i="1"/>
  <c r="L97" i="1"/>
  <c r="N96" i="1"/>
  <c r="M96" i="1"/>
  <c r="L96" i="1"/>
  <c r="D107" i="1" s="1"/>
  <c r="N95" i="1"/>
  <c r="M95" i="1"/>
  <c r="L95" i="1"/>
  <c r="M91" i="1"/>
  <c r="N85" i="1"/>
  <c r="M85" i="1"/>
  <c r="M87" i="1" s="1"/>
  <c r="E85" i="1"/>
  <c r="I84" i="1"/>
  <c r="L84" i="1" s="1"/>
  <c r="H84" i="1"/>
  <c r="G84" i="1"/>
  <c r="F84" i="1"/>
  <c r="E84" i="1"/>
  <c r="D84" i="1"/>
  <c r="C84" i="1"/>
  <c r="I83" i="1"/>
  <c r="H83" i="1"/>
  <c r="G83" i="1"/>
  <c r="F83" i="1"/>
  <c r="E83" i="1"/>
  <c r="D83" i="1"/>
  <c r="C83" i="1"/>
  <c r="L83" i="1" s="1"/>
  <c r="J82" i="1"/>
  <c r="I82" i="1"/>
  <c r="I85" i="1" s="1"/>
  <c r="H82" i="1"/>
  <c r="H85" i="1" s="1"/>
  <c r="G82" i="1"/>
  <c r="G85" i="1" s="1"/>
  <c r="F82" i="1"/>
  <c r="E82" i="1"/>
  <c r="D82" i="1"/>
  <c r="D85" i="1" s="1"/>
  <c r="C82" i="1"/>
  <c r="L82" i="1" s="1"/>
  <c r="L80" i="1"/>
  <c r="C80" i="1"/>
  <c r="N79" i="1"/>
  <c r="M79" i="1"/>
  <c r="L79" i="1"/>
  <c r="N78" i="1"/>
  <c r="M78" i="1"/>
  <c r="L78" i="1"/>
  <c r="N77" i="1"/>
  <c r="M77" i="1"/>
  <c r="L77" i="1"/>
  <c r="N76" i="1"/>
  <c r="M76" i="1"/>
  <c r="L76" i="1"/>
  <c r="F85" i="1" s="1"/>
  <c r="N75" i="1"/>
  <c r="M75" i="1"/>
  <c r="L75" i="1"/>
  <c r="N74" i="1"/>
  <c r="M74" i="1"/>
  <c r="L74" i="1"/>
  <c r="L87" i="1" s="1"/>
  <c r="N73" i="1"/>
  <c r="M73" i="1"/>
  <c r="L73" i="1"/>
  <c r="L85" i="1" s="1"/>
  <c r="M69" i="1"/>
  <c r="G63" i="1"/>
  <c r="F63" i="1"/>
  <c r="I62" i="1"/>
  <c r="H62" i="1"/>
  <c r="L62" i="1" s="1"/>
  <c r="G62" i="1"/>
  <c r="F62" i="1"/>
  <c r="E62" i="1"/>
  <c r="D62" i="1"/>
  <c r="C62" i="1"/>
  <c r="I61" i="1"/>
  <c r="H61" i="1"/>
  <c r="G61" i="1"/>
  <c r="F61" i="1"/>
  <c r="E61" i="1"/>
  <c r="D61" i="1"/>
  <c r="C61" i="1"/>
  <c r="L61" i="1" s="1"/>
  <c r="J60" i="1"/>
  <c r="I60" i="1"/>
  <c r="I63" i="1" s="1"/>
  <c r="H60" i="1"/>
  <c r="L60" i="1" s="1"/>
  <c r="G60" i="1"/>
  <c r="F60" i="1"/>
  <c r="E60" i="1"/>
  <c r="E63" i="1" s="1"/>
  <c r="D60" i="1"/>
  <c r="D63" i="1" s="1"/>
  <c r="C60" i="1"/>
  <c r="C63" i="1" s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M63" i="1" s="1"/>
  <c r="L52" i="1"/>
  <c r="L63" i="1" s="1"/>
  <c r="N51" i="1"/>
  <c r="N63" i="1" s="1"/>
  <c r="M51" i="1"/>
  <c r="L51" i="1"/>
  <c r="L65" i="1" s="1"/>
  <c r="M47" i="1"/>
  <c r="I40" i="1"/>
  <c r="H40" i="1"/>
  <c r="L40" i="1" s="1"/>
  <c r="G40" i="1"/>
  <c r="F40" i="1"/>
  <c r="E40" i="1"/>
  <c r="D40" i="1"/>
  <c r="C40" i="1"/>
  <c r="H39" i="1"/>
  <c r="G39" i="1"/>
  <c r="F39" i="1"/>
  <c r="E39" i="1"/>
  <c r="J38" i="1"/>
  <c r="H38" i="1"/>
  <c r="G38" i="1"/>
  <c r="G41" i="1" s="1"/>
  <c r="F38" i="1"/>
  <c r="F41" i="1" s="1"/>
  <c r="E38" i="1"/>
  <c r="C38" i="1"/>
  <c r="L36" i="1"/>
  <c r="N35" i="1"/>
  <c r="M35" i="1"/>
  <c r="L35" i="1"/>
  <c r="N34" i="1"/>
  <c r="M34" i="1"/>
  <c r="L34" i="1"/>
  <c r="H41" i="1" s="1"/>
  <c r="N33" i="1"/>
  <c r="M33" i="1"/>
  <c r="L33" i="1"/>
  <c r="N32" i="1"/>
  <c r="M32" i="1"/>
  <c r="L32" i="1"/>
  <c r="N31" i="1"/>
  <c r="C31" i="1"/>
  <c r="C39" i="1" s="1"/>
  <c r="N30" i="1"/>
  <c r="M30" i="1"/>
  <c r="L30" i="1"/>
  <c r="N29" i="1"/>
  <c r="N41" i="1" s="1"/>
  <c r="I29" i="1"/>
  <c r="I39" i="1" s="1"/>
  <c r="D29" i="1"/>
  <c r="L29" i="1" s="1"/>
  <c r="M25" i="1"/>
  <c r="E19" i="1"/>
  <c r="I18" i="1"/>
  <c r="H18" i="1"/>
  <c r="G18" i="1"/>
  <c r="F18" i="1"/>
  <c r="E18" i="1"/>
  <c r="D18" i="1"/>
  <c r="I17" i="1"/>
  <c r="H17" i="1"/>
  <c r="G17" i="1"/>
  <c r="F17" i="1"/>
  <c r="E17" i="1"/>
  <c r="C17" i="1"/>
  <c r="J16" i="1"/>
  <c r="I16" i="1"/>
  <c r="I19" i="1" s="1"/>
  <c r="H16" i="1"/>
  <c r="G16" i="1"/>
  <c r="G19" i="1" s="1"/>
  <c r="F16" i="1"/>
  <c r="F19" i="1" s="1"/>
  <c r="E16" i="1"/>
  <c r="C14" i="1"/>
  <c r="C18" i="1" s="1"/>
  <c r="L18" i="1" s="1"/>
  <c r="N13" i="1"/>
  <c r="M13" i="1"/>
  <c r="L13" i="1"/>
  <c r="N12" i="1"/>
  <c r="M12" i="1"/>
  <c r="L12" i="1"/>
  <c r="H19" i="1" s="1"/>
  <c r="N11" i="1"/>
  <c r="M11" i="1"/>
  <c r="L11" i="1"/>
  <c r="N10" i="1"/>
  <c r="M10" i="1"/>
  <c r="L10" i="1"/>
  <c r="N9" i="1"/>
  <c r="N19" i="1" s="1"/>
  <c r="M9" i="1"/>
  <c r="L9" i="1"/>
  <c r="N8" i="1"/>
  <c r="M8" i="1"/>
  <c r="L8" i="1"/>
  <c r="N7" i="1"/>
  <c r="D7" i="1"/>
  <c r="M7" i="1" s="1"/>
  <c r="M19" i="1" s="1"/>
  <c r="M3" i="1"/>
  <c r="J43" i="3" l="1"/>
  <c r="J54" i="3"/>
  <c r="L108" i="1"/>
  <c r="M105" i="1"/>
  <c r="M151" i="1"/>
  <c r="L154" i="1"/>
  <c r="M120" i="1"/>
  <c r="L120" i="1"/>
  <c r="L43" i="1"/>
  <c r="L41" i="1"/>
  <c r="M221" i="1"/>
  <c r="O219" i="1"/>
  <c r="M155" i="1"/>
  <c r="O153" i="1"/>
  <c r="D129" i="1"/>
  <c r="M195" i="1"/>
  <c r="L198" i="1"/>
  <c r="O197" i="1"/>
  <c r="M199" i="1"/>
  <c r="M173" i="1"/>
  <c r="L176" i="1"/>
  <c r="M217" i="1"/>
  <c r="L220" i="1"/>
  <c r="L131" i="1"/>
  <c r="O175" i="1"/>
  <c r="M177" i="1"/>
  <c r="M21" i="1"/>
  <c r="O19" i="1"/>
  <c r="M109" i="1"/>
  <c r="O107" i="1"/>
  <c r="O108" i="1"/>
  <c r="L104" i="1"/>
  <c r="C107" i="1"/>
  <c r="M65" i="1"/>
  <c r="O63" i="1"/>
  <c r="M61" i="1"/>
  <c r="L64" i="1"/>
  <c r="L86" i="1"/>
  <c r="M83" i="1"/>
  <c r="L39" i="1"/>
  <c r="E41" i="1"/>
  <c r="H63" i="1"/>
  <c r="C16" i="1"/>
  <c r="L7" i="1"/>
  <c r="I38" i="1"/>
  <c r="I41" i="1" s="1"/>
  <c r="L102" i="1"/>
  <c r="L109" i="1" s="1"/>
  <c r="L150" i="1"/>
  <c r="O176" i="1"/>
  <c r="L31" i="1"/>
  <c r="O64" i="1"/>
  <c r="G118" i="1"/>
  <c r="L153" i="1"/>
  <c r="M31" i="1"/>
  <c r="L118" i="1"/>
  <c r="L129" i="1" s="1"/>
  <c r="F126" i="1"/>
  <c r="F129" i="1" s="1"/>
  <c r="E219" i="1"/>
  <c r="L172" i="1"/>
  <c r="M29" i="1"/>
  <c r="M41" i="1" s="1"/>
  <c r="D16" i="1"/>
  <c r="D19" i="1" s="1"/>
  <c r="C126" i="1"/>
  <c r="D39" i="1"/>
  <c r="M118" i="1"/>
  <c r="M129" i="1" s="1"/>
  <c r="C153" i="1"/>
  <c r="L199" i="1"/>
  <c r="C41" i="1"/>
  <c r="D38" i="1"/>
  <c r="D41" i="1" s="1"/>
  <c r="L14" i="1"/>
  <c r="O86" i="1"/>
  <c r="D17" i="1"/>
  <c r="L17" i="1" s="1"/>
  <c r="C197" i="1"/>
  <c r="L219" i="1"/>
  <c r="C85" i="1"/>
  <c r="O85" i="1"/>
  <c r="L194" i="1"/>
  <c r="M39" i="1" l="1"/>
  <c r="L42" i="1"/>
  <c r="M43" i="1"/>
  <c r="O41" i="1"/>
  <c r="L21" i="1"/>
  <c r="L19" i="1"/>
  <c r="C19" i="1"/>
  <c r="O20" i="1"/>
  <c r="L16" i="1"/>
  <c r="N200" i="1"/>
  <c r="L200" i="1"/>
  <c r="L88" i="1"/>
  <c r="N88" i="1"/>
  <c r="O130" i="1"/>
  <c r="L126" i="1"/>
  <c r="C129" i="1"/>
  <c r="N66" i="1"/>
  <c r="L66" i="1"/>
  <c r="O42" i="1"/>
  <c r="L38" i="1"/>
  <c r="L107" i="1"/>
  <c r="M17" i="1"/>
  <c r="L20" i="1"/>
  <c r="N222" i="1"/>
  <c r="L222" i="1"/>
  <c r="N178" i="1"/>
  <c r="L178" i="1"/>
  <c r="M131" i="1"/>
  <c r="O129" i="1"/>
  <c r="N156" i="1"/>
  <c r="L156" i="1"/>
  <c r="G127" i="1"/>
  <c r="L127" i="1" s="1"/>
  <c r="G126" i="1"/>
  <c r="G129" i="1" s="1"/>
  <c r="N110" i="1"/>
  <c r="L110" i="1"/>
  <c r="N22" i="1" l="1"/>
  <c r="L22" i="1"/>
  <c r="M127" i="1"/>
  <c r="L130" i="1"/>
  <c r="N44" i="1"/>
  <c r="L44" i="1"/>
  <c r="L132" i="1" l="1"/>
  <c r="N132" i="1"/>
</calcChain>
</file>

<file path=xl/sharedStrings.xml><?xml version="1.0" encoding="utf-8"?>
<sst xmlns="http://schemas.openxmlformats.org/spreadsheetml/2006/main" count="682" uniqueCount="62">
  <si>
    <t>Networks for global assessment papers</t>
  </si>
  <si>
    <t>Active nodes</t>
  </si>
  <si>
    <t>Active links</t>
  </si>
  <si>
    <t>TOTAL TERR HYDROSPHERE + external inputs &amp; outputs</t>
  </si>
  <si>
    <t>To</t>
  </si>
  <si>
    <t>From</t>
  </si>
  <si>
    <t>Aw</t>
  </si>
  <si>
    <t>GW</t>
  </si>
  <si>
    <t>SW</t>
  </si>
  <si>
    <t>GL</t>
  </si>
  <si>
    <t>SEA</t>
  </si>
  <si>
    <t>OUT</t>
  </si>
  <si>
    <t>Out int</t>
  </si>
  <si>
    <t>Out ext</t>
  </si>
  <si>
    <t>IN</t>
  </si>
  <si>
    <t>int/ext</t>
  </si>
  <si>
    <t>IN int</t>
  </si>
  <si>
    <t>IN ext</t>
  </si>
  <si>
    <t xml:space="preserve">Total throughflow rel P </t>
  </si>
  <si>
    <t>Fintr/P</t>
  </si>
  <si>
    <t>*</t>
  </si>
  <si>
    <t>considering average P = 858 mm/yr &amp; area-weighted partitioning</t>
  </si>
  <si>
    <t>Networks for the different global datasets in the GHCD synthesis (Zarei&amp;Destouni, 2024)</t>
  </si>
  <si>
    <t>Version: from S/VEG/SM – 50% runoff each to GW and SW</t>
  </si>
  <si>
    <t>Version: from S/VEG/SM – 0% runoff to GW 100% to SW</t>
  </si>
  <si>
    <t>Version: from S/VEG/SM – 100% runoff to GW 0% to SW</t>
  </si>
  <si>
    <t>RELATION MATRIX – OBS 2024</t>
  </si>
  <si>
    <t>considering R-GW-SW / R-SW = 0.5</t>
  </si>
  <si>
    <t>SP/ENG</t>
  </si>
  <si>
    <t>Total throughflow / P</t>
  </si>
  <si>
    <t>Fintr / P</t>
  </si>
  <si>
    <t>RELATION MATRIX – Mixed-GLEAM</t>
  </si>
  <si>
    <t>RELATION MATRIX – GLDAS</t>
  </si>
  <si>
    <t>Ext</t>
  </si>
  <si>
    <t>Unaccounted for</t>
  </si>
  <si>
    <t>RELATION MATRIX – ERA5</t>
  </si>
  <si>
    <t>Total output</t>
  </si>
  <si>
    <t>Total Input</t>
  </si>
  <si>
    <r>
      <t xml:space="preserve">Abbott, B. W., Bishop, K., Zarnetske, J. P., Minaudo, C., Chapin, F., Krause, S., et al. (2019). Human domination of the global water cycle absent from depictions and perceptions, </t>
    </r>
    <r>
      <rPr>
        <i/>
        <sz val="16"/>
        <color theme="1"/>
        <rFont val="Times New Roman"/>
        <family val="1"/>
      </rPr>
      <t>Nature Geoscience</t>
    </r>
    <r>
      <rPr>
        <sz val="16"/>
        <color theme="1"/>
        <rFont val="Times New Roman"/>
        <family val="1"/>
      </rPr>
      <t xml:space="preserve">, </t>
    </r>
    <r>
      <rPr>
        <i/>
        <sz val="16"/>
        <color theme="1"/>
        <rFont val="Times New Roman"/>
        <family val="1"/>
      </rPr>
      <t>12</t>
    </r>
    <r>
      <rPr>
        <sz val="16"/>
        <color theme="1"/>
        <rFont val="Times New Roman"/>
        <family val="1"/>
      </rPr>
      <t>(7), 533–540.</t>
    </r>
  </si>
  <si>
    <r>
      <t xml:space="preserve">Althoff, D., &amp; Destouni, G. (2023). Global patterns in water flux partitioning: Irrigated and rainfed agriculture drives asymmetrical flux to vegetation over runoff, </t>
    </r>
    <r>
      <rPr>
        <i/>
        <sz val="16"/>
        <color theme="1"/>
        <rFont val="Times New Roman"/>
        <family val="1"/>
      </rPr>
      <t>One Earth</t>
    </r>
    <r>
      <rPr>
        <sz val="16"/>
        <color theme="1"/>
        <rFont val="Times New Roman"/>
        <family val="1"/>
      </rPr>
      <t>, 6(9), 1246-1257.</t>
    </r>
  </si>
  <si>
    <r>
      <t xml:space="preserve">Oki, T., &amp; Kanae, S. (2006). Global hydrological cycles and world water resources, </t>
    </r>
    <r>
      <rPr>
        <i/>
        <sz val="16"/>
        <color theme="1"/>
        <rFont val="Times New Roman"/>
        <family val="1"/>
      </rPr>
      <t>Science</t>
    </r>
    <r>
      <rPr>
        <sz val="16"/>
        <color theme="1"/>
        <rFont val="Times New Roman"/>
        <family val="1"/>
      </rPr>
      <t xml:space="preserve">, </t>
    </r>
    <r>
      <rPr>
        <i/>
        <sz val="16"/>
        <color theme="1"/>
        <rFont val="Times New Roman"/>
        <family val="1"/>
      </rPr>
      <t>313</t>
    </r>
    <r>
      <rPr>
        <sz val="16"/>
        <color theme="1"/>
        <rFont val="Times New Roman"/>
        <family val="1"/>
      </rPr>
      <t>(5790), 1068–1072.</t>
    </r>
  </si>
  <si>
    <r>
      <t xml:space="preserve">Shiklomanov, I., &amp; Sokolov, A. (1985). </t>
    </r>
    <r>
      <rPr>
        <i/>
        <sz val="16"/>
        <color theme="1"/>
        <rFont val="Times New Roman"/>
        <family val="1"/>
      </rPr>
      <t xml:space="preserve">Methodological basis of world water balance investigation and computation </t>
    </r>
    <r>
      <rPr>
        <sz val="16"/>
        <color theme="1"/>
        <rFont val="Times New Roman"/>
        <family val="1"/>
      </rPr>
      <t>(Vol. 148, pp. 77–92). IAHS- AISH Publication. Retrieved from:</t>
    </r>
  </si>
  <si>
    <t>http://pascal-francis.inist.fr/vibad/index.php?action=getRecordDetail&amp;idt=9205365</t>
  </si>
  <si>
    <r>
      <t xml:space="preserve">Trenberth, K.E. (2014). </t>
    </r>
    <r>
      <rPr>
        <i/>
        <sz val="16"/>
        <color theme="1"/>
        <rFont val="Times New Roman"/>
        <family val="1"/>
      </rPr>
      <t>Water Cycles and Climate Change</t>
    </r>
    <r>
      <rPr>
        <sz val="16"/>
        <color theme="1"/>
        <rFont val="Times New Roman"/>
        <family val="1"/>
      </rPr>
      <t xml:space="preserve"> (2014). </t>
    </r>
    <r>
      <rPr>
        <sz val="16"/>
        <color rgb="FF222222"/>
        <rFont val="Times New Roman"/>
        <family val="1"/>
      </rPr>
      <t>In: Freedman, B. (eds) Global Environmental Change. Handbook of Global Environmental Pollution, vol 1. Springer, Dordrecht.</t>
    </r>
  </si>
  <si>
    <r>
      <t xml:space="preserve">Wright, R. T. &amp; Boorse, D. F. (2014). </t>
    </r>
    <r>
      <rPr>
        <i/>
        <sz val="16"/>
        <color theme="1"/>
        <rFont val="Times New Roman"/>
        <family val="1"/>
      </rPr>
      <t>Environmental Science: Towards a Sustainable Future</t>
    </r>
    <r>
      <rPr>
        <sz val="16"/>
        <color theme="1"/>
        <rFont val="Times New Roman"/>
        <family val="1"/>
      </rPr>
      <t>.12th ed., Pearson Education International, USA.</t>
    </r>
  </si>
  <si>
    <r>
      <t xml:space="preserve">Zarei, M. &amp; Destouni, G. (2024). A global multi catchment and multi dataset synthesis for water fluxes and storage changes on land, </t>
    </r>
    <r>
      <rPr>
        <i/>
        <sz val="16"/>
        <color theme="1"/>
        <rFont val="Times New Roman"/>
        <family val="1"/>
      </rPr>
      <t>Scientific Data</t>
    </r>
    <r>
      <rPr>
        <sz val="16"/>
        <color theme="1"/>
        <rFont val="Times New Roman"/>
        <family val="1"/>
      </rPr>
      <t>, 11, 133.</t>
    </r>
  </si>
  <si>
    <t>RELATION MATRIX – SS-85</t>
  </si>
  <si>
    <t>RELATION MATRIX – Ab-19</t>
  </si>
  <si>
    <t>RELATION MATRIX – OK-06</t>
  </si>
  <si>
    <t>RELATION MATRIX – Wr-13</t>
  </si>
  <si>
    <t>RELATION MATRIX – Tr-14</t>
  </si>
  <si>
    <t>RELATION MATRIX – AD-23</t>
  </si>
  <si>
    <t>SS-85</t>
  </si>
  <si>
    <t>Ab-19</t>
  </si>
  <si>
    <t>OK-06</t>
  </si>
  <si>
    <t>Wr-13</t>
  </si>
  <si>
    <t>Tr-14</t>
  </si>
  <si>
    <t>AD-23</t>
  </si>
  <si>
    <t>VEG</t>
  </si>
  <si>
    <t>SM</t>
  </si>
  <si>
    <r>
      <t>SP</t>
    </r>
    <r>
      <rPr>
        <b/>
        <sz val="15"/>
        <color rgb="FFFF40FF"/>
        <rFont val="Calibri (Body)"/>
      </rPr>
      <t>/ENG</t>
    </r>
  </si>
  <si>
    <r>
      <t xml:space="preserve">* </t>
    </r>
    <r>
      <rPr>
        <sz val="15"/>
        <color rgb="FFFF0000"/>
        <rFont val="Calibri (Body)"/>
      </rPr>
      <t>Using average P from the 5 global assessments above as the flow Aw to 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</si>
</sst>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0.0%"/>
    <numFmt numFmtId="167" formatCode="_-* #,##0.0_-;\-* #,##0.0_-;_-* &quot;-&quot;??_-;_-@_-"/>
    <numFmt numFmtId="168" formatCode="0.000"/>
    <numFmt numFmtId="169" formatCode="_(* #,##0.000_);_(* \(#,##0.000\);_(* &quot;-&quot;?_);_(@_)"/>
    <numFmt numFmtId="170" formatCode="_(* #,##0.000_);_(* \(#,##0.000\);_(* &quot;-&quot;???_);_(@_)"/>
  </numFmts>
  <fonts count="44">
    <font>
      <sz val="12"/>
      <color theme="1"/>
      <name val="Calibri"/>
    </font>
    <font>
      <sz val="12"/>
      <color theme="1"/>
      <name val="Calibri"/>
    </font>
    <font>
      <sz val="16"/>
      <color theme="1"/>
      <name val="Times New Roman"/>
    </font>
    <font>
      <sz val="12"/>
      <color theme="10"/>
      <name val="Calibri"/>
    </font>
    <font>
      <sz val="16"/>
      <color theme="10"/>
      <name val="Calibri"/>
    </font>
    <font>
      <b/>
      <sz val="12"/>
      <color theme="1"/>
      <name val="Arial"/>
    </font>
    <font>
      <sz val="12"/>
      <color theme="1"/>
      <name val="Arial"/>
    </font>
    <font>
      <sz val="12"/>
      <name val="Arial"/>
    </font>
    <font>
      <b/>
      <sz val="12"/>
      <name val="Arial"/>
    </font>
    <font>
      <i/>
      <sz val="12"/>
      <name val="Arial"/>
    </font>
    <font>
      <i/>
      <sz val="12"/>
      <name val="Arial"/>
    </font>
    <font>
      <i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rgb="FF222222"/>
      <name val="Times New Roman"/>
      <family val="1"/>
    </font>
    <font>
      <b/>
      <sz val="15"/>
      <color theme="1"/>
      <name val="Calibri"/>
      <family val="2"/>
    </font>
    <font>
      <sz val="15"/>
      <color theme="1"/>
      <name val="Calibri"/>
      <family val="2"/>
    </font>
    <font>
      <b/>
      <sz val="15"/>
      <color rgb="FFFF0000"/>
      <name val="Calibri"/>
      <family val="2"/>
    </font>
    <font>
      <sz val="15"/>
      <color rgb="FFFF40FF"/>
      <name val="Calibri"/>
      <family val="2"/>
    </font>
    <font>
      <sz val="15"/>
      <color rgb="FFFF0000"/>
      <name val="Calibri"/>
      <family val="2"/>
    </font>
    <font>
      <b/>
      <sz val="15"/>
      <color rgb="FF0432FF"/>
      <name val="Calibri"/>
      <family val="2"/>
    </font>
    <font>
      <b/>
      <sz val="15"/>
      <color rgb="FF00B0F0"/>
      <name val="Calibri"/>
      <family val="2"/>
    </font>
    <font>
      <b/>
      <sz val="15"/>
      <color theme="9" tint="-0.249977111117893"/>
      <name val="Calibri"/>
      <family val="2"/>
    </font>
    <font>
      <b/>
      <sz val="15"/>
      <color rgb="FFC00000"/>
      <name val="Calibri"/>
      <family val="2"/>
    </font>
    <font>
      <b/>
      <sz val="15"/>
      <color theme="4" tint="-0.249977111117893"/>
      <name val="Calibri"/>
      <family val="2"/>
    </font>
    <font>
      <b/>
      <sz val="15"/>
      <color theme="3"/>
      <name val="Calibri"/>
      <family val="2"/>
    </font>
    <font>
      <b/>
      <sz val="15"/>
      <color theme="8"/>
      <name val="Calibri"/>
      <family val="2"/>
    </font>
    <font>
      <b/>
      <sz val="15"/>
      <color theme="1"/>
      <name val="Calibri (Body)"/>
    </font>
    <font>
      <b/>
      <sz val="15"/>
      <color theme="4"/>
      <name val="Calibri"/>
      <family val="2"/>
    </font>
    <font>
      <b/>
      <sz val="15"/>
      <color theme="1" tint="0.49995422223578601"/>
      <name val="Calibri"/>
      <family val="2"/>
    </font>
    <font>
      <b/>
      <sz val="15"/>
      <color rgb="FFFF40FF"/>
      <name val="Calibri (Body)"/>
    </font>
    <font>
      <b/>
      <sz val="15"/>
      <color rgb="FF0070C0"/>
      <name val="Calibri"/>
      <family val="2"/>
    </font>
    <font>
      <sz val="15"/>
      <color rgb="FF00B0F0"/>
      <name val="Calibri"/>
      <family val="2"/>
    </font>
    <font>
      <sz val="15"/>
      <color theme="9" tint="-0.249977111117893"/>
      <name val="Calibri"/>
      <family val="2"/>
    </font>
    <font>
      <sz val="15"/>
      <color rgb="FFC00000"/>
      <name val="Calibri"/>
      <family val="2"/>
    </font>
    <font>
      <sz val="15"/>
      <color theme="4"/>
      <name val="Calibri"/>
      <family val="2"/>
    </font>
    <font>
      <sz val="15"/>
      <color theme="1" tint="0.49995422223578601"/>
      <name val="Calibri"/>
      <family val="2"/>
    </font>
    <font>
      <sz val="15"/>
      <color rgb="FF0432FF"/>
      <name val="Calibri"/>
      <family val="2"/>
    </font>
    <font>
      <sz val="15"/>
      <name val="Calibri"/>
      <family val="2"/>
    </font>
    <font>
      <b/>
      <sz val="15"/>
      <color rgb="FFFF40FF"/>
      <name val="Calibri"/>
      <family val="2"/>
    </font>
    <font>
      <sz val="15"/>
      <color theme="5"/>
      <name val="Calibri"/>
      <family val="2"/>
    </font>
    <font>
      <sz val="15"/>
      <color rgb="FF0070C0"/>
      <name val="Calibri"/>
      <family val="2"/>
    </font>
    <font>
      <sz val="15"/>
      <color rgb="FFFF0000"/>
      <name val="Calibri (Body)"/>
    </font>
    <font>
      <b/>
      <sz val="15"/>
      <color rgb="FF00B050"/>
      <name val="Calibri"/>
      <family val="2"/>
    </font>
    <font>
      <b/>
      <sz val="15"/>
      <color rgb="FF7030A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25">
    <xf numFmtId="0" fontId="0" fillId="0" borderId="0" xfId="0"/>
    <xf numFmtId="0" fontId="2" fillId="0" borderId="0" xfId="0" applyFont="1"/>
    <xf numFmtId="0" fontId="4" fillId="0" borderId="0" xfId="3" applyFont="1"/>
    <xf numFmtId="0" fontId="0" fillId="0" borderId="0" xfId="0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165" fontId="5" fillId="0" borderId="15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165" fontId="6" fillId="0" borderId="0" xfId="0" applyNumberFormat="1" applyFont="1"/>
    <xf numFmtId="165" fontId="7" fillId="0" borderId="0" xfId="0" applyNumberFormat="1" applyFont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165" fontId="8" fillId="0" borderId="15" xfId="0" applyNumberFormat="1" applyFont="1" applyBorder="1" applyAlignment="1">
      <alignment horizontal="center" vertical="center"/>
    </xf>
    <xf numFmtId="165" fontId="7" fillId="0" borderId="0" xfId="0" applyNumberFormat="1" applyFont="1"/>
    <xf numFmtId="165" fontId="7" fillId="0" borderId="12" xfId="0" applyNumberFormat="1" applyFont="1" applyBorder="1" applyAlignment="1">
      <alignment horizontal="center" vertical="center"/>
    </xf>
    <xf numFmtId="165" fontId="7" fillId="12" borderId="12" xfId="0" applyNumberFormat="1" applyFont="1" applyFill="1" applyBorder="1" applyAlignment="1">
      <alignment horizontal="center" vertical="center"/>
    </xf>
    <xf numFmtId="165" fontId="8" fillId="0" borderId="17" xfId="0" applyNumberFormat="1" applyFont="1" applyBorder="1" applyAlignment="1">
      <alignment horizontal="center" vertical="center"/>
    </xf>
    <xf numFmtId="165" fontId="8" fillId="0" borderId="19" xfId="0" applyNumberFormat="1" applyFont="1" applyBorder="1" applyAlignment="1">
      <alignment horizontal="center" vertical="center"/>
    </xf>
    <xf numFmtId="165" fontId="8" fillId="0" borderId="20" xfId="0" applyNumberFormat="1" applyFont="1" applyBorder="1" applyAlignment="1">
      <alignment horizontal="center" vertical="center"/>
    </xf>
    <xf numFmtId="165" fontId="9" fillId="0" borderId="12" xfId="0" applyNumberFormat="1" applyFont="1" applyBorder="1" applyAlignment="1">
      <alignment horizontal="center" vertical="center"/>
    </xf>
    <xf numFmtId="165" fontId="10" fillId="0" borderId="12" xfId="0" applyNumberFormat="1" applyFont="1" applyBorder="1" applyAlignment="1">
      <alignment horizontal="center" vertical="center"/>
    </xf>
    <xf numFmtId="165" fontId="7" fillId="13" borderId="12" xfId="0" applyNumberFormat="1" applyFont="1" applyFill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left"/>
    </xf>
    <xf numFmtId="164" fontId="17" fillId="0" borderId="0" xfId="1" applyFont="1" applyAlignment="1">
      <alignment horizontal="left"/>
    </xf>
    <xf numFmtId="0" fontId="18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 wrapText="1"/>
    </xf>
    <xf numFmtId="0" fontId="27" fillId="5" borderId="0" xfId="0" applyFont="1" applyFill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168" fontId="17" fillId="11" borderId="0" xfId="0" applyNumberFormat="1" applyFont="1" applyFill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30" fillId="8" borderId="2" xfId="0" applyFont="1" applyFill="1" applyBorder="1" applyAlignment="1">
      <alignment vertical="center"/>
    </xf>
    <xf numFmtId="167" fontId="31" fillId="11" borderId="1" xfId="1" applyNumberFormat="1" applyFont="1" applyFill="1" applyBorder="1" applyAlignment="1">
      <alignment horizontal="center" vertical="center"/>
    </xf>
    <xf numFmtId="167" fontId="15" fillId="0" borderId="2" xfId="1" applyNumberFormat="1" applyFont="1" applyBorder="1" applyAlignment="1">
      <alignment horizontal="center" vertical="center"/>
    </xf>
    <xf numFmtId="167" fontId="32" fillId="0" borderId="2" xfId="1" applyNumberFormat="1" applyFont="1" applyBorder="1" applyAlignment="1">
      <alignment horizontal="center" vertical="center"/>
    </xf>
    <xf numFmtId="167" fontId="33" fillId="11" borderId="2" xfId="1" applyNumberFormat="1" applyFont="1" applyFill="1" applyBorder="1" applyAlignment="1">
      <alignment horizontal="center" vertical="center"/>
    </xf>
    <xf numFmtId="167" fontId="34" fillId="0" borderId="2" xfId="1" applyNumberFormat="1" applyFont="1" applyBorder="1" applyAlignment="1">
      <alignment horizontal="center" vertical="center"/>
    </xf>
    <xf numFmtId="167" fontId="35" fillId="0" borderId="2" xfId="1" applyNumberFormat="1" applyFont="1" applyBorder="1" applyAlignment="1">
      <alignment horizontal="center" vertical="center"/>
    </xf>
    <xf numFmtId="167" fontId="17" fillId="0" borderId="3" xfId="1" applyNumberFormat="1" applyFont="1" applyBorder="1" applyAlignment="1">
      <alignment horizontal="center" vertical="center"/>
    </xf>
    <xf numFmtId="167" fontId="36" fillId="11" borderId="0" xfId="1" applyNumberFormat="1" applyFont="1" applyFill="1" applyAlignment="1">
      <alignment horizontal="center" vertical="center"/>
    </xf>
    <xf numFmtId="165" fontId="20" fillId="2" borderId="4" xfId="0" applyNumberFormat="1" applyFont="1" applyFill="1" applyBorder="1" applyAlignment="1">
      <alignment horizontal="center" vertical="center"/>
    </xf>
    <xf numFmtId="165" fontId="20" fillId="2" borderId="0" xfId="0" applyNumberFormat="1" applyFont="1" applyFill="1" applyAlignment="1">
      <alignment horizontal="center" vertical="center"/>
    </xf>
    <xf numFmtId="165" fontId="15" fillId="0" borderId="0" xfId="0" applyNumberFormat="1" applyFont="1" applyAlignment="1">
      <alignment vertical="center"/>
    </xf>
    <xf numFmtId="169" fontId="15" fillId="0" borderId="0" xfId="0" applyNumberFormat="1" applyFont="1" applyAlignment="1">
      <alignment horizontal="center" vertical="center"/>
    </xf>
    <xf numFmtId="170" fontId="15" fillId="0" borderId="0" xfId="0" applyNumberFormat="1" applyFont="1" applyAlignment="1">
      <alignment horizontal="center" vertical="center"/>
    </xf>
    <xf numFmtId="167" fontId="31" fillId="0" borderId="4" xfId="1" applyNumberFormat="1" applyFont="1" applyBorder="1" applyAlignment="1">
      <alignment horizontal="center" vertical="center"/>
    </xf>
    <xf numFmtId="167" fontId="37" fillId="11" borderId="0" xfId="1" applyNumberFormat="1" applyFont="1" applyFill="1" applyAlignment="1">
      <alignment horizontal="center" vertical="center"/>
    </xf>
    <xf numFmtId="167" fontId="32" fillId="0" borderId="0" xfId="1" applyNumberFormat="1" applyFont="1" applyAlignment="1">
      <alignment horizontal="center" vertical="center"/>
    </xf>
    <xf numFmtId="167" fontId="33" fillId="0" borderId="0" xfId="1" applyNumberFormat="1" applyFont="1" applyAlignment="1">
      <alignment horizontal="center" vertical="center"/>
    </xf>
    <xf numFmtId="167" fontId="34" fillId="0" borderId="0" xfId="1" applyNumberFormat="1" applyFont="1" applyAlignment="1">
      <alignment horizontal="center" vertical="center"/>
    </xf>
    <xf numFmtId="167" fontId="35" fillId="0" borderId="0" xfId="1" applyNumberFormat="1" applyFont="1" applyAlignment="1">
      <alignment horizontal="center" vertical="center"/>
    </xf>
    <xf numFmtId="167" fontId="17" fillId="0" borderId="5" xfId="1" applyNumberFormat="1" applyFont="1" applyBorder="1" applyAlignment="1">
      <alignment horizontal="center" vertical="center"/>
    </xf>
    <xf numFmtId="167" fontId="36" fillId="0" borderId="0" xfId="1" applyNumberFormat="1" applyFont="1" applyAlignment="1">
      <alignment horizontal="center" vertical="center"/>
    </xf>
    <xf numFmtId="165" fontId="14" fillId="2" borderId="4" xfId="0" applyNumberFormat="1" applyFont="1" applyFill="1" applyBorder="1" applyAlignment="1">
      <alignment horizontal="center" vertical="center"/>
    </xf>
    <xf numFmtId="165" fontId="14" fillId="2" borderId="0" xfId="0" applyNumberFormat="1" applyFont="1" applyFill="1" applyAlignment="1">
      <alignment horizontal="center" vertical="center"/>
    </xf>
    <xf numFmtId="167" fontId="31" fillId="0" borderId="0" xfId="1" applyNumberFormat="1" applyFont="1" applyAlignment="1">
      <alignment horizontal="center" vertical="center"/>
    </xf>
    <xf numFmtId="167" fontId="32" fillId="11" borderId="0" xfId="1" applyNumberFormat="1" applyFont="1" applyFill="1" applyAlignment="1">
      <alignment horizontal="center" vertical="center"/>
    </xf>
    <xf numFmtId="167" fontId="33" fillId="11" borderId="0" xfId="1" applyNumberFormat="1" applyFont="1" applyFill="1" applyAlignment="1">
      <alignment horizontal="center" vertical="center"/>
    </xf>
    <xf numFmtId="167" fontId="34" fillId="11" borderId="0" xfId="1" applyNumberFormat="1" applyFont="1" applyFill="1" applyAlignment="1">
      <alignment horizontal="center" vertical="center"/>
    </xf>
    <xf numFmtId="167" fontId="35" fillId="11" borderId="0" xfId="1" applyNumberFormat="1" applyFont="1" applyFill="1" applyAlignment="1">
      <alignment horizontal="center" vertical="center"/>
    </xf>
    <xf numFmtId="167" fontId="15" fillId="0" borderId="5" xfId="1" applyNumberFormat="1" applyFont="1" applyBorder="1" applyAlignment="1">
      <alignment horizontal="center" vertical="center"/>
    </xf>
    <xf numFmtId="165" fontId="21" fillId="3" borderId="4" xfId="0" applyNumberFormat="1" applyFont="1" applyFill="1" applyBorder="1" applyAlignment="1">
      <alignment horizontal="center" vertical="center"/>
    </xf>
    <xf numFmtId="165" fontId="21" fillId="3" borderId="0" xfId="0" applyNumberFormat="1" applyFont="1" applyFill="1" applyAlignment="1">
      <alignment horizontal="center" vertical="center"/>
    </xf>
    <xf numFmtId="167" fontId="31" fillId="11" borderId="4" xfId="1" applyNumberFormat="1" applyFont="1" applyFill="1" applyBorder="1" applyAlignment="1">
      <alignment horizontal="center" vertical="center"/>
    </xf>
    <xf numFmtId="167" fontId="36" fillId="8" borderId="0" xfId="1" applyNumberFormat="1" applyFont="1" applyFill="1" applyAlignment="1">
      <alignment horizontal="center" vertical="center"/>
    </xf>
    <xf numFmtId="165" fontId="22" fillId="4" borderId="4" xfId="0" applyNumberFormat="1" applyFont="1" applyFill="1" applyBorder="1" applyAlignment="1">
      <alignment horizontal="center" vertical="center"/>
    </xf>
    <xf numFmtId="165" fontId="22" fillId="4" borderId="0" xfId="0" applyNumberFormat="1" applyFont="1" applyFill="1" applyAlignment="1">
      <alignment horizontal="center" vertical="center"/>
    </xf>
    <xf numFmtId="165" fontId="27" fillId="5" borderId="4" xfId="0" applyNumberFormat="1" applyFont="1" applyFill="1" applyBorder="1" applyAlignment="1">
      <alignment horizontal="center" vertical="center"/>
    </xf>
    <xf numFmtId="165" fontId="27" fillId="5" borderId="0" xfId="0" applyNumberFormat="1" applyFont="1" applyFill="1" applyAlignment="1">
      <alignment horizontal="center" vertical="center"/>
    </xf>
    <xf numFmtId="165" fontId="28" fillId="6" borderId="4" xfId="0" applyNumberFormat="1" applyFont="1" applyFill="1" applyBorder="1" applyAlignment="1">
      <alignment horizontal="center" vertical="center"/>
    </xf>
    <xf numFmtId="165" fontId="28" fillId="6" borderId="0" xfId="0" applyNumberFormat="1" applyFont="1" applyFill="1" applyAlignment="1">
      <alignment horizontal="center" vertical="center"/>
    </xf>
    <xf numFmtId="167" fontId="31" fillId="0" borderId="6" xfId="1" applyNumberFormat="1" applyFont="1" applyBorder="1" applyAlignment="1">
      <alignment horizontal="center" vertical="center"/>
    </xf>
    <xf numFmtId="167" fontId="15" fillId="0" borderId="7" xfId="1" applyNumberFormat="1" applyFont="1" applyBorder="1" applyAlignment="1">
      <alignment horizontal="center" vertical="center"/>
    </xf>
    <xf numFmtId="167" fontId="32" fillId="0" borderId="7" xfId="1" applyNumberFormat="1" applyFont="1" applyBorder="1" applyAlignment="1">
      <alignment horizontal="center" vertical="center"/>
    </xf>
    <xf numFmtId="167" fontId="38" fillId="0" borderId="7" xfId="1" applyNumberFormat="1" applyFont="1" applyBorder="1" applyAlignment="1">
      <alignment horizontal="center" vertical="center"/>
    </xf>
    <xf numFmtId="167" fontId="34" fillId="0" borderId="7" xfId="1" applyNumberFormat="1" applyFont="1" applyBorder="1" applyAlignment="1">
      <alignment horizontal="center" vertical="center"/>
    </xf>
    <xf numFmtId="167" fontId="35" fillId="0" borderId="7" xfId="1" applyNumberFormat="1" applyFont="1" applyBorder="1" applyAlignment="1">
      <alignment horizontal="center" vertical="center"/>
    </xf>
    <xf numFmtId="167" fontId="15" fillId="11" borderId="8" xfId="1" applyNumberFormat="1" applyFont="1" applyFill="1" applyBorder="1" applyAlignment="1">
      <alignment horizontal="center" vertical="center"/>
    </xf>
    <xf numFmtId="165" fontId="38" fillId="7" borderId="4" xfId="0" applyNumberFormat="1" applyFont="1" applyFill="1" applyBorder="1" applyAlignment="1">
      <alignment horizontal="center" vertical="center"/>
    </xf>
    <xf numFmtId="165" fontId="38" fillId="7" borderId="0" xfId="0" applyNumberFormat="1" applyFont="1" applyFill="1" applyAlignment="1">
      <alignment horizontal="center" vertical="center"/>
    </xf>
    <xf numFmtId="167" fontId="31" fillId="8" borderId="0" xfId="1" applyNumberFormat="1" applyFont="1" applyFill="1" applyAlignment="1">
      <alignment horizontal="center" vertical="center"/>
    </xf>
    <xf numFmtId="167" fontId="15" fillId="0" borderId="0" xfId="1" applyNumberFormat="1" applyFont="1" applyAlignment="1">
      <alignment horizontal="center" vertical="center"/>
    </xf>
    <xf numFmtId="165" fontId="39" fillId="0" borderId="0" xfId="2" applyNumberFormat="1" applyFont="1" applyFill="1" applyBorder="1" applyAlignment="1">
      <alignment horizontal="center" vertical="center"/>
    </xf>
    <xf numFmtId="168" fontId="31" fillId="12" borderId="0" xfId="0" applyNumberFormat="1" applyFont="1" applyFill="1" applyAlignment="1">
      <alignment horizontal="center" vertical="center"/>
    </xf>
    <xf numFmtId="168" fontId="15" fillId="12" borderId="0" xfId="0" applyNumberFormat="1" applyFont="1" applyFill="1" applyAlignment="1">
      <alignment horizontal="center" vertical="center"/>
    </xf>
    <xf numFmtId="168" fontId="32" fillId="12" borderId="0" xfId="0" applyNumberFormat="1" applyFont="1" applyFill="1" applyAlignment="1">
      <alignment horizontal="center" vertical="center"/>
    </xf>
    <xf numFmtId="168" fontId="17" fillId="12" borderId="0" xfId="0" applyNumberFormat="1" applyFont="1" applyFill="1" applyAlignment="1">
      <alignment horizontal="center" vertical="center"/>
    </xf>
    <xf numFmtId="168" fontId="34" fillId="12" borderId="0" xfId="0" applyNumberFormat="1" applyFont="1" applyFill="1" applyAlignment="1">
      <alignment horizontal="center" vertical="center"/>
    </xf>
    <xf numFmtId="168" fontId="35" fillId="12" borderId="0" xfId="0" applyNumberFormat="1" applyFont="1" applyFill="1" applyAlignment="1">
      <alignment horizontal="center" vertical="center"/>
    </xf>
    <xf numFmtId="165" fontId="15" fillId="0" borderId="7" xfId="0" applyNumberFormat="1" applyFont="1" applyBorder="1" applyAlignment="1">
      <alignment vertical="center"/>
    </xf>
    <xf numFmtId="165" fontId="14" fillId="0" borderId="7" xfId="1" applyNumberFormat="1" applyFont="1" applyFill="1" applyBorder="1" applyAlignment="1">
      <alignment vertical="center"/>
    </xf>
    <xf numFmtId="165" fontId="15" fillId="0" borderId="0" xfId="1" applyNumberFormat="1" applyFont="1" applyFill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165" fontId="20" fillId="2" borderId="2" xfId="0" applyNumberFormat="1" applyFont="1" applyFill="1" applyBorder="1" applyAlignment="1">
      <alignment horizontal="center" vertical="center"/>
    </xf>
    <xf numFmtId="165" fontId="14" fillId="2" borderId="2" xfId="0" applyNumberFormat="1" applyFont="1" applyFill="1" applyBorder="1" applyAlignment="1">
      <alignment horizontal="center" vertical="center"/>
    </xf>
    <xf numFmtId="165" fontId="21" fillId="3" borderId="2" xfId="0" applyNumberFormat="1" applyFont="1" applyFill="1" applyBorder="1" applyAlignment="1">
      <alignment horizontal="center" vertical="center"/>
    </xf>
    <xf numFmtId="165" fontId="22" fillId="4" borderId="2" xfId="0" applyNumberFormat="1" applyFont="1" applyFill="1" applyBorder="1" applyAlignment="1">
      <alignment horizontal="center" vertical="center"/>
    </xf>
    <xf numFmtId="165" fontId="27" fillId="5" borderId="2" xfId="0" applyNumberFormat="1" applyFont="1" applyFill="1" applyBorder="1" applyAlignment="1">
      <alignment horizontal="center" vertical="center"/>
    </xf>
    <xf numFmtId="165" fontId="28" fillId="6" borderId="2" xfId="0" applyNumberFormat="1" applyFont="1" applyFill="1" applyBorder="1" applyAlignment="1">
      <alignment horizontal="center" vertical="center"/>
    </xf>
    <xf numFmtId="165" fontId="38" fillId="7" borderId="2" xfId="0" applyNumberFormat="1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165" fontId="38" fillId="0" borderId="2" xfId="0" applyNumberFormat="1" applyFont="1" applyBorder="1" applyAlignment="1">
      <alignment horizontal="center" vertical="center"/>
    </xf>
    <xf numFmtId="165" fontId="16" fillId="0" borderId="5" xfId="1" applyNumberFormat="1" applyFont="1" applyBorder="1" applyAlignment="1">
      <alignment horizontal="center" vertical="center"/>
    </xf>
    <xf numFmtId="165" fontId="16" fillId="4" borderId="0" xfId="1" applyNumberFormat="1" applyFont="1" applyFill="1" applyBorder="1" applyAlignment="1">
      <alignment horizontal="center" vertical="center"/>
    </xf>
    <xf numFmtId="165" fontId="27" fillId="0" borderId="0" xfId="0" applyNumberFormat="1" applyFont="1" applyAlignment="1">
      <alignment vertical="center"/>
    </xf>
    <xf numFmtId="0" fontId="16" fillId="9" borderId="4" xfId="0" applyFont="1" applyFill="1" applyBorder="1" applyAlignment="1">
      <alignment horizontal="center" vertical="center"/>
    </xf>
    <xf numFmtId="165" fontId="16" fillId="9" borderId="5" xfId="0" applyNumberFormat="1" applyFont="1" applyFill="1" applyBorder="1" applyAlignment="1">
      <alignment horizontal="center" vertical="center"/>
    </xf>
    <xf numFmtId="165" fontId="18" fillId="0" borderId="0" xfId="0" applyNumberFormat="1" applyFont="1" applyAlignment="1">
      <alignment vertical="center"/>
    </xf>
    <xf numFmtId="0" fontId="16" fillId="9" borderId="6" xfId="0" applyFont="1" applyFill="1" applyBorder="1" applyAlignment="1">
      <alignment horizontal="center" vertical="center"/>
    </xf>
    <xf numFmtId="165" fontId="20" fillId="2" borderId="7" xfId="0" applyNumberFormat="1" applyFont="1" applyFill="1" applyBorder="1" applyAlignment="1">
      <alignment horizontal="center" vertical="center"/>
    </xf>
    <xf numFmtId="165" fontId="14" fillId="2" borderId="7" xfId="0" applyNumberFormat="1" applyFont="1" applyFill="1" applyBorder="1" applyAlignment="1">
      <alignment horizontal="center" vertical="center"/>
    </xf>
    <xf numFmtId="165" fontId="21" fillId="3" borderId="7" xfId="0" applyNumberFormat="1" applyFont="1" applyFill="1" applyBorder="1" applyAlignment="1">
      <alignment horizontal="center" vertical="center"/>
    </xf>
    <xf numFmtId="165" fontId="22" fillId="4" borderId="7" xfId="0" applyNumberFormat="1" applyFont="1" applyFill="1" applyBorder="1" applyAlignment="1">
      <alignment horizontal="center" vertical="center"/>
    </xf>
    <xf numFmtId="165" fontId="27" fillId="5" borderId="7" xfId="0" applyNumberFormat="1" applyFont="1" applyFill="1" applyBorder="1" applyAlignment="1">
      <alignment horizontal="center" vertical="center"/>
    </xf>
    <xf numFmtId="165" fontId="28" fillId="6" borderId="7" xfId="0" applyNumberFormat="1" applyFont="1" applyFill="1" applyBorder="1" applyAlignment="1">
      <alignment horizontal="center" vertical="center"/>
    </xf>
    <xf numFmtId="165" fontId="38" fillId="7" borderId="7" xfId="0" applyNumberFormat="1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165" fontId="15" fillId="0" borderId="0" xfId="0" applyNumberFormat="1" applyFont="1"/>
    <xf numFmtId="0" fontId="31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165" fontId="27" fillId="0" borderId="9" xfId="0" applyNumberFormat="1" applyFont="1" applyBorder="1" applyAlignment="1">
      <alignment horizontal="center" vertical="center"/>
    </xf>
    <xf numFmtId="165" fontId="27" fillId="8" borderId="10" xfId="0" applyNumberFormat="1" applyFont="1" applyFill="1" applyBorder="1" applyAlignment="1">
      <alignment horizontal="center" vertical="center"/>
    </xf>
    <xf numFmtId="165" fontId="27" fillId="8" borderId="11" xfId="0" applyNumberFormat="1" applyFont="1" applyFill="1" applyBorder="1" applyAlignment="1">
      <alignment horizontal="center" vertical="center"/>
    </xf>
    <xf numFmtId="165" fontId="27" fillId="8" borderId="0" xfId="0" applyNumberFormat="1" applyFont="1" applyFill="1" applyAlignment="1">
      <alignment horizontal="center" vertical="center"/>
    </xf>
    <xf numFmtId="0" fontId="15" fillId="0" borderId="0" xfId="1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16" fillId="10" borderId="0" xfId="0" applyNumberFormat="1" applyFont="1" applyFill="1" applyAlignment="1">
      <alignment horizontal="center" vertical="center"/>
    </xf>
    <xf numFmtId="165" fontId="27" fillId="8" borderId="0" xfId="0" applyNumberFormat="1" applyFont="1" applyFill="1" applyAlignment="1">
      <alignment vertical="center"/>
    </xf>
    <xf numFmtId="0" fontId="31" fillId="0" borderId="0" xfId="1" applyNumberFormat="1" applyFont="1" applyFill="1" applyBorder="1" applyAlignment="1">
      <alignment horizontal="center" vertical="center"/>
    </xf>
    <xf numFmtId="165" fontId="16" fillId="10" borderId="0" xfId="1" applyNumberFormat="1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165" fontId="40" fillId="0" borderId="0" xfId="0" applyNumberFormat="1" applyFont="1" applyAlignment="1">
      <alignment vertical="center"/>
    </xf>
    <xf numFmtId="0" fontId="38" fillId="0" borderId="0" xfId="0" applyFont="1"/>
    <xf numFmtId="164" fontId="38" fillId="0" borderId="0" xfId="1" applyFont="1" applyAlignment="1">
      <alignment vertical="center"/>
    </xf>
    <xf numFmtId="0" fontId="27" fillId="0" borderId="4" xfId="0" applyFont="1" applyBorder="1" applyAlignment="1">
      <alignment horizontal="center" vertical="center"/>
    </xf>
    <xf numFmtId="0" fontId="30" fillId="8" borderId="0" xfId="0" applyFont="1" applyFill="1" applyAlignment="1">
      <alignment vertical="center"/>
    </xf>
    <xf numFmtId="167" fontId="33" fillId="0" borderId="7" xfId="1" applyNumberFormat="1" applyFont="1" applyBorder="1" applyAlignment="1">
      <alignment horizontal="center" vertical="center"/>
    </xf>
    <xf numFmtId="167" fontId="31" fillId="0" borderId="0" xfId="1" applyNumberFormat="1" applyFont="1" applyFill="1" applyAlignment="1">
      <alignment horizontal="center" vertical="center"/>
    </xf>
    <xf numFmtId="167" fontId="17" fillId="0" borderId="0" xfId="1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8" fontId="31" fillId="0" borderId="0" xfId="0" applyNumberFormat="1" applyFont="1" applyAlignment="1">
      <alignment horizontal="center" vertical="center"/>
    </xf>
    <xf numFmtId="168" fontId="32" fillId="0" borderId="0" xfId="0" applyNumberFormat="1" applyFont="1" applyAlignment="1">
      <alignment horizontal="center" vertical="center"/>
    </xf>
    <xf numFmtId="168" fontId="33" fillId="0" borderId="0" xfId="0" applyNumberFormat="1" applyFont="1" applyAlignment="1">
      <alignment horizontal="center" vertical="center"/>
    </xf>
    <xf numFmtId="168" fontId="34" fillId="0" borderId="0" xfId="0" applyNumberFormat="1" applyFont="1" applyAlignment="1">
      <alignment horizontal="center" vertical="center"/>
    </xf>
    <xf numFmtId="168" fontId="35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>
      <alignment horizontal="center" vertical="center"/>
    </xf>
    <xf numFmtId="165" fontId="36" fillId="8" borderId="0" xfId="0" applyNumberFormat="1" applyFont="1" applyFill="1" applyAlignment="1">
      <alignment horizontal="center" vertical="center"/>
    </xf>
    <xf numFmtId="168" fontId="31" fillId="8" borderId="0" xfId="0" applyNumberFormat="1" applyFont="1" applyFill="1" applyAlignment="1">
      <alignment horizontal="center" vertical="center"/>
    </xf>
    <xf numFmtId="165" fontId="31" fillId="8" borderId="0" xfId="0" applyNumberFormat="1" applyFont="1" applyFill="1" applyAlignment="1">
      <alignment horizontal="center" vertical="center"/>
    </xf>
    <xf numFmtId="165" fontId="32" fillId="0" borderId="0" xfId="0" applyNumberFormat="1" applyFont="1" applyAlignment="1">
      <alignment horizontal="center" vertical="center"/>
    </xf>
    <xf numFmtId="165" fontId="33" fillId="0" borderId="0" xfId="0" applyNumberFormat="1" applyFont="1" applyAlignment="1">
      <alignment horizontal="center" vertical="center"/>
    </xf>
    <xf numFmtId="165" fontId="34" fillId="0" borderId="0" xfId="0" applyNumberFormat="1" applyFont="1" applyAlignment="1">
      <alignment horizontal="center" vertical="center"/>
    </xf>
    <xf numFmtId="165" fontId="35" fillId="0" borderId="0" xfId="0" applyNumberFormat="1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168" fontId="17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43" fontId="15" fillId="0" borderId="0" xfId="0" applyNumberFormat="1" applyFont="1"/>
    <xf numFmtId="0" fontId="16" fillId="0" borderId="0" xfId="0" applyFont="1"/>
    <xf numFmtId="0" fontId="18" fillId="0" borderId="0" xfId="0" applyFont="1"/>
    <xf numFmtId="0" fontId="25" fillId="0" borderId="0" xfId="0" applyFont="1" applyAlignment="1">
      <alignment vertical="center"/>
    </xf>
    <xf numFmtId="0" fontId="30" fillId="8" borderId="3" xfId="0" applyFont="1" applyFill="1" applyBorder="1" applyAlignment="1">
      <alignment vertical="center"/>
    </xf>
    <xf numFmtId="165" fontId="31" fillId="0" borderId="1" xfId="0" applyNumberFormat="1" applyFont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/>
    </xf>
    <xf numFmtId="165" fontId="33" fillId="0" borderId="2" xfId="0" applyNumberFormat="1" applyFont="1" applyBorder="1" applyAlignment="1">
      <alignment horizontal="center" vertical="center"/>
    </xf>
    <xf numFmtId="165" fontId="34" fillId="0" borderId="2" xfId="0" applyNumberFormat="1" applyFont="1" applyBorder="1" applyAlignment="1">
      <alignment horizontal="center" vertical="center"/>
    </xf>
    <xf numFmtId="165" fontId="35" fillId="0" borderId="2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20" fillId="2" borderId="5" xfId="0" applyNumberFormat="1" applyFont="1" applyFill="1" applyBorder="1" applyAlignment="1">
      <alignment horizontal="center" vertical="center"/>
    </xf>
    <xf numFmtId="165" fontId="31" fillId="0" borderId="4" xfId="0" applyNumberFormat="1" applyFont="1" applyBorder="1" applyAlignment="1">
      <alignment horizontal="center" vertical="center"/>
    </xf>
    <xf numFmtId="165" fontId="31" fillId="0" borderId="0" xfId="0" applyNumberFormat="1" applyFont="1" applyAlignment="1">
      <alignment horizontal="center" vertical="center"/>
    </xf>
    <xf numFmtId="165" fontId="17" fillId="0" borderId="5" xfId="0" applyNumberFormat="1" applyFont="1" applyBorder="1" applyAlignment="1">
      <alignment horizontal="center" vertical="center"/>
    </xf>
    <xf numFmtId="165" fontId="21" fillId="3" borderId="5" xfId="0" applyNumberFormat="1" applyFont="1" applyFill="1" applyBorder="1" applyAlignment="1">
      <alignment horizontal="center" vertical="center"/>
    </xf>
    <xf numFmtId="165" fontId="15" fillId="0" borderId="5" xfId="0" applyNumberFormat="1" applyFont="1" applyBorder="1" applyAlignment="1">
      <alignment horizontal="center" vertical="center"/>
    </xf>
    <xf numFmtId="165" fontId="22" fillId="4" borderId="5" xfId="0" applyNumberFormat="1" applyFont="1" applyFill="1" applyBorder="1" applyAlignment="1">
      <alignment horizontal="center" vertical="center"/>
    </xf>
    <xf numFmtId="165" fontId="27" fillId="5" borderId="5" xfId="0" applyNumberFormat="1" applyFont="1" applyFill="1" applyBorder="1" applyAlignment="1">
      <alignment horizontal="center" vertical="center"/>
    </xf>
    <xf numFmtId="165" fontId="28" fillId="6" borderId="5" xfId="0" applyNumberFormat="1" applyFont="1" applyFill="1" applyBorder="1" applyAlignment="1">
      <alignment horizontal="center" vertical="center"/>
    </xf>
    <xf numFmtId="165" fontId="31" fillId="0" borderId="6" xfId="0" applyNumberFormat="1" applyFont="1" applyBorder="1" applyAlignment="1">
      <alignment horizontal="center" vertical="center"/>
    </xf>
    <xf numFmtId="165" fontId="15" fillId="0" borderId="7" xfId="0" applyNumberFormat="1" applyFont="1" applyBorder="1" applyAlignment="1">
      <alignment horizontal="center" vertical="center"/>
    </xf>
    <xf numFmtId="165" fontId="32" fillId="0" borderId="7" xfId="0" applyNumberFormat="1" applyFont="1" applyBorder="1" applyAlignment="1">
      <alignment horizontal="center" vertical="center"/>
    </xf>
    <xf numFmtId="165" fontId="38" fillId="0" borderId="7" xfId="0" applyNumberFormat="1" applyFont="1" applyBorder="1" applyAlignment="1">
      <alignment horizontal="center" vertical="center"/>
    </xf>
    <xf numFmtId="165" fontId="34" fillId="0" borderId="7" xfId="0" applyNumberFormat="1" applyFont="1" applyBorder="1" applyAlignment="1">
      <alignment horizontal="center" vertical="center"/>
    </xf>
    <xf numFmtId="165" fontId="35" fillId="0" borderId="7" xfId="0" applyNumberFormat="1" applyFont="1" applyBorder="1" applyAlignment="1">
      <alignment horizontal="center" vertical="center"/>
    </xf>
    <xf numFmtId="165" fontId="15" fillId="0" borderId="8" xfId="0" applyNumberFormat="1" applyFont="1" applyBorder="1" applyAlignment="1">
      <alignment horizontal="center" vertical="center"/>
    </xf>
    <xf numFmtId="165" fontId="38" fillId="7" borderId="5" xfId="0" applyNumberFormat="1" applyFont="1" applyFill="1" applyBorder="1" applyAlignment="1">
      <alignment horizontal="center" vertical="center"/>
    </xf>
    <xf numFmtId="165" fontId="15" fillId="0" borderId="5" xfId="0" applyNumberFormat="1" applyFont="1" applyBorder="1" applyAlignment="1">
      <alignment vertical="center"/>
    </xf>
    <xf numFmtId="165" fontId="17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right" vertical="center"/>
    </xf>
    <xf numFmtId="166" fontId="17" fillId="0" borderId="0" xfId="2" applyNumberFormat="1" applyFont="1" applyAlignment="1">
      <alignment vertical="center"/>
    </xf>
    <xf numFmtId="165" fontId="14" fillId="0" borderId="8" xfId="1" applyNumberFormat="1" applyFont="1" applyFill="1" applyBorder="1" applyAlignment="1">
      <alignment vertical="center"/>
    </xf>
    <xf numFmtId="165" fontId="38" fillId="6" borderId="2" xfId="0" applyNumberFormat="1" applyFont="1" applyFill="1" applyBorder="1" applyAlignment="1">
      <alignment horizontal="center" vertical="center"/>
    </xf>
    <xf numFmtId="165" fontId="19" fillId="0" borderId="7" xfId="0" applyNumberFormat="1" applyFont="1" applyBorder="1" applyAlignment="1">
      <alignment horizontal="center" vertical="center"/>
    </xf>
    <xf numFmtId="165" fontId="16" fillId="0" borderId="9" xfId="0" applyNumberFormat="1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vertical="center"/>
    </xf>
  </cellXfs>
  <cellStyles count="4">
    <cellStyle name="Comma" xfId="1" xr:uid="{00000000-0005-0000-0000-000000000000}"/>
    <cellStyle name="Hyperlink" xfId="3" xr:uid="{00000000-0005-0000-0000-000001000000}"/>
    <cellStyle name="Normal" xfId="0" builtinId="0"/>
    <cellStyle name="Percent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86</xdr:row>
      <xdr:rowOff>188191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1651000" y="30619700"/>
          <a:ext cx="304800" cy="304800"/>
        </a:xfrm>
        <a:prstGeom prst="rect">
          <a:avLst/>
        </a:prstGeom>
        <a:noFill/>
      </xdr:spPr>
    </xdr:sp>
    <xdr:clientData/>
  </xdr:twoCellAnchor>
  <xdr:oneCellAnchor>
    <xdr:from>
      <xdr:col>2</xdr:col>
      <xdr:colOff>0</xdr:colOff>
      <xdr:row>107</xdr:row>
      <xdr:rowOff>0</xdr:rowOff>
    </xdr:from>
    <xdr:ext cx="304800" cy="304800"/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Grp="1"/>
        </xdr:cNvSpPr>
      </xdr:nvSpPr>
      <xdr:spPr>
        <a:xfrm>
          <a:off x="1651000" y="386334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2</xdr:col>
      <xdr:colOff>0</xdr:colOff>
      <xdr:row>129</xdr:row>
      <xdr:rowOff>0</xdr:rowOff>
    </xdr:from>
    <xdr:ext cx="304800" cy="304800"/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Grp="1"/>
        </xdr:cNvSpPr>
      </xdr:nvSpPr>
      <xdr:spPr>
        <a:xfrm>
          <a:off x="1651000" y="466471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2</xdr:col>
      <xdr:colOff>0</xdr:colOff>
      <xdr:row>153</xdr:row>
      <xdr:rowOff>0</xdr:rowOff>
    </xdr:from>
    <xdr:ext cx="304800" cy="304800"/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Grp="1"/>
        </xdr:cNvSpPr>
      </xdr:nvSpPr>
      <xdr:spPr>
        <a:xfrm>
          <a:off x="1651000" y="545338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2</xdr:col>
      <xdr:colOff>0</xdr:colOff>
      <xdr:row>175</xdr:row>
      <xdr:rowOff>0</xdr:rowOff>
    </xdr:from>
    <xdr:ext cx="304800" cy="304800"/>
    <xdr:sp macro="" textlink="">
      <xdr:nvSpPr>
        <xdr:cNvPr id="6" name="Auto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Grp="1"/>
        </xdr:cNvSpPr>
      </xdr:nvSpPr>
      <xdr:spPr>
        <a:xfrm>
          <a:off x="1651000" y="624205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2</xdr:col>
      <xdr:colOff>0</xdr:colOff>
      <xdr:row>197</xdr:row>
      <xdr:rowOff>0</xdr:rowOff>
    </xdr:from>
    <xdr:ext cx="304800" cy="304800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Grp="1"/>
        </xdr:cNvSpPr>
      </xdr:nvSpPr>
      <xdr:spPr>
        <a:xfrm>
          <a:off x="1651000" y="703072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2</xdr:col>
      <xdr:colOff>0</xdr:colOff>
      <xdr:row>219</xdr:row>
      <xdr:rowOff>0</xdr:rowOff>
    </xdr:from>
    <xdr:ext cx="304800" cy="304800"/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Grp="1"/>
        </xdr:cNvSpPr>
      </xdr:nvSpPr>
      <xdr:spPr>
        <a:xfrm>
          <a:off x="1651000" y="78193900"/>
          <a:ext cx="304800" cy="304800"/>
        </a:xfrm>
        <a:prstGeom prst="rect">
          <a:avLst/>
        </a:prstGeom>
        <a:noFill/>
      </xdr:spPr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pascal-francis.inist.fr/vibad/index.php?action=getRecordDetail&amp;idt=92053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22"/>
  <sheetViews>
    <sheetView zoomScale="55" zoomScaleNormal="55" workbookViewId="0">
      <selection activeCell="F63" sqref="F63"/>
    </sheetView>
  </sheetViews>
  <sheetFormatPr defaultColWidth="11" defaultRowHeight="19.5"/>
  <cols>
    <col min="1" max="2" width="11" style="25"/>
    <col min="3" max="3" width="11.5" style="25" customWidth="1"/>
    <col min="4" max="4" width="15.875" style="25" customWidth="1"/>
    <col min="5" max="5" width="11.5" style="25" customWidth="1"/>
    <col min="6" max="16" width="11" style="25"/>
    <col min="17" max="17" width="13.5" style="25" customWidth="1"/>
    <col min="18" max="23" width="12.375" style="25" customWidth="1"/>
    <col min="24" max="24" width="11" style="25"/>
    <col min="25" max="31" width="12.375" style="25" customWidth="1"/>
    <col min="32" max="32" width="11" style="25"/>
    <col min="33" max="38" width="13.625" style="26" customWidth="1"/>
    <col min="39" max="39" width="16.75" style="26" customWidth="1"/>
    <col min="40" max="40" width="11" style="25"/>
    <col min="41" max="47" width="13.625" style="25" customWidth="1"/>
    <col min="48" max="48" width="11" style="25"/>
    <col min="49" max="54" width="13.625" style="25" customWidth="1"/>
    <col min="55" max="55" width="15.5" style="25" customWidth="1"/>
    <col min="56" max="56" width="11" style="25"/>
    <col min="57" max="63" width="12.375" style="25" customWidth="1"/>
    <col min="64" max="16384" width="11" style="25"/>
  </cols>
  <sheetData>
    <row r="1" spans="1:63">
      <c r="A1" s="24" t="s">
        <v>0</v>
      </c>
    </row>
    <row r="3" spans="1:63">
      <c r="B3" s="27" t="s">
        <v>46</v>
      </c>
      <c r="C3" s="28"/>
      <c r="D3" s="28"/>
      <c r="E3" s="28"/>
      <c r="G3" s="29" t="s">
        <v>1</v>
      </c>
      <c r="I3" s="30">
        <v>8</v>
      </c>
      <c r="J3" s="29" t="s">
        <v>2</v>
      </c>
      <c r="L3" s="30">
        <v>14</v>
      </c>
      <c r="M3" s="31">
        <f>L3/I3</f>
        <v>1.75</v>
      </c>
      <c r="N3" s="32"/>
      <c r="O3" s="33"/>
    </row>
    <row r="4" spans="1:63">
      <c r="B4" s="34" t="s">
        <v>3</v>
      </c>
      <c r="C4" s="34"/>
      <c r="D4" s="34"/>
      <c r="E4" s="35"/>
      <c r="F4" s="28"/>
      <c r="G4" s="28"/>
      <c r="H4" s="28"/>
      <c r="I4" s="28"/>
      <c r="J4" s="28"/>
      <c r="K4" s="28"/>
      <c r="L4" s="32"/>
      <c r="M4" s="32"/>
      <c r="N4" s="32"/>
      <c r="O4" s="33"/>
    </row>
    <row r="5" spans="1:63">
      <c r="B5" s="36" t="s">
        <v>4</v>
      </c>
      <c r="C5" s="37">
        <v>1</v>
      </c>
      <c r="D5" s="38">
        <v>2</v>
      </c>
      <c r="E5" s="39">
        <v>3</v>
      </c>
      <c r="F5" s="40">
        <v>4</v>
      </c>
      <c r="G5" s="41">
        <v>5</v>
      </c>
      <c r="H5" s="42">
        <v>6</v>
      </c>
      <c r="I5" s="43">
        <v>7</v>
      </c>
      <c r="J5" s="44">
        <v>8</v>
      </c>
      <c r="K5" s="45"/>
      <c r="L5" s="46"/>
      <c r="M5" s="46"/>
      <c r="O5" s="32"/>
    </row>
    <row r="6" spans="1:63">
      <c r="A6" s="47" t="s">
        <v>5</v>
      </c>
      <c r="C6" s="37" t="s">
        <v>6</v>
      </c>
      <c r="D6" s="48" t="s">
        <v>59</v>
      </c>
      <c r="E6" s="49" t="s">
        <v>58</v>
      </c>
      <c r="F6" s="40" t="s">
        <v>7</v>
      </c>
      <c r="G6" s="50" t="s">
        <v>8</v>
      </c>
      <c r="H6" s="51" t="s">
        <v>9</v>
      </c>
      <c r="I6" s="43" t="s">
        <v>60</v>
      </c>
      <c r="J6" s="52" t="s">
        <v>10</v>
      </c>
      <c r="K6" s="53"/>
      <c r="L6" s="54" t="s">
        <v>11</v>
      </c>
      <c r="M6" s="55" t="s">
        <v>12</v>
      </c>
      <c r="N6" s="55" t="s">
        <v>13</v>
      </c>
      <c r="O6" s="28"/>
    </row>
    <row r="7" spans="1:63">
      <c r="A7" s="37">
        <v>1</v>
      </c>
      <c r="B7" s="37" t="s">
        <v>6</v>
      </c>
      <c r="C7" s="56"/>
      <c r="D7" s="57">
        <f>116</f>
        <v>116</v>
      </c>
      <c r="E7" s="58"/>
      <c r="F7" s="59"/>
      <c r="G7" s="60"/>
      <c r="H7" s="61">
        <v>2.7</v>
      </c>
      <c r="I7" s="62">
        <v>2.9</v>
      </c>
      <c r="J7" s="63"/>
      <c r="K7" s="53"/>
      <c r="L7" s="64">
        <f t="shared" ref="L7:L14" si="0">SUM(C7:K7)</f>
        <v>121.60000000000001</v>
      </c>
      <c r="M7" s="65">
        <f t="shared" ref="M7:M13" si="1">SUM(C7:I7)</f>
        <v>121.60000000000001</v>
      </c>
      <c r="N7" s="65">
        <f>SUM(J7:K7)</f>
        <v>0</v>
      </c>
      <c r="O7" s="66"/>
      <c r="Q7" s="67"/>
      <c r="R7" s="67"/>
      <c r="S7" s="67"/>
      <c r="T7" s="67"/>
      <c r="U7" s="67"/>
      <c r="V7" s="67"/>
      <c r="W7" s="67"/>
      <c r="Y7" s="67"/>
      <c r="Z7" s="67"/>
      <c r="AA7" s="67"/>
      <c r="AB7" s="67"/>
      <c r="AC7" s="67"/>
      <c r="AD7" s="67"/>
      <c r="AE7" s="67"/>
      <c r="AG7" s="68"/>
      <c r="AH7" s="68"/>
      <c r="AI7" s="68"/>
      <c r="AJ7" s="68"/>
      <c r="AK7" s="68"/>
      <c r="AL7" s="68"/>
      <c r="AM7" s="68"/>
      <c r="AO7" s="68"/>
      <c r="AP7" s="68"/>
      <c r="AQ7" s="68"/>
      <c r="AR7" s="68"/>
      <c r="AS7" s="68"/>
      <c r="AT7" s="68"/>
      <c r="AU7" s="68"/>
      <c r="AW7" s="68"/>
      <c r="AX7" s="68"/>
      <c r="AY7" s="68"/>
      <c r="AZ7" s="68"/>
      <c r="BA7" s="68"/>
      <c r="BB7" s="68"/>
      <c r="BC7" s="68"/>
      <c r="BE7" s="68"/>
      <c r="BF7" s="68"/>
      <c r="BG7" s="68"/>
      <c r="BH7" s="68"/>
      <c r="BI7" s="68"/>
      <c r="BJ7" s="68"/>
      <c r="BK7" s="68"/>
    </row>
    <row r="8" spans="1:63">
      <c r="A8" s="38">
        <v>2</v>
      </c>
      <c r="B8" s="38" t="s">
        <v>59</v>
      </c>
      <c r="C8" s="69"/>
      <c r="D8" s="70"/>
      <c r="E8" s="71">
        <v>71</v>
      </c>
      <c r="F8" s="72">
        <v>46</v>
      </c>
      <c r="G8" s="73"/>
      <c r="H8" s="74"/>
      <c r="I8" s="75"/>
      <c r="J8" s="76"/>
      <c r="K8" s="53"/>
      <c r="L8" s="77">
        <f t="shared" si="0"/>
        <v>117</v>
      </c>
      <c r="M8" s="78">
        <f t="shared" si="1"/>
        <v>117</v>
      </c>
      <c r="N8" s="78">
        <f>SUM(J8:K8)</f>
        <v>0</v>
      </c>
      <c r="O8" s="66"/>
      <c r="Q8" s="67"/>
      <c r="R8" s="67"/>
      <c r="S8" s="67"/>
      <c r="T8" s="67"/>
      <c r="U8" s="67"/>
      <c r="V8" s="67"/>
      <c r="W8" s="67"/>
      <c r="Y8" s="67"/>
      <c r="Z8" s="67"/>
      <c r="AA8" s="67"/>
      <c r="AB8" s="67"/>
      <c r="AC8" s="67"/>
      <c r="AD8" s="67"/>
      <c r="AE8" s="67"/>
      <c r="AG8" s="68"/>
      <c r="AH8" s="68"/>
      <c r="AI8" s="68"/>
      <c r="AJ8" s="68"/>
      <c r="AK8" s="68"/>
      <c r="AL8" s="68"/>
      <c r="AM8" s="68"/>
      <c r="AO8" s="68"/>
      <c r="AP8" s="68"/>
      <c r="AQ8" s="68"/>
      <c r="AR8" s="68"/>
      <c r="AS8" s="68"/>
      <c r="AT8" s="68"/>
      <c r="AU8" s="68"/>
      <c r="AW8" s="68"/>
      <c r="AX8" s="68"/>
      <c r="AY8" s="68"/>
      <c r="AZ8" s="68"/>
      <c r="BA8" s="68"/>
      <c r="BB8" s="68"/>
      <c r="BC8" s="68"/>
      <c r="BE8" s="68"/>
      <c r="BF8" s="68"/>
      <c r="BG8" s="68"/>
      <c r="BH8" s="68"/>
      <c r="BI8" s="68"/>
      <c r="BJ8" s="68"/>
      <c r="BK8" s="68"/>
    </row>
    <row r="9" spans="1:63">
      <c r="A9" s="39">
        <v>3</v>
      </c>
      <c r="B9" s="49" t="s">
        <v>58</v>
      </c>
      <c r="C9" s="69">
        <v>71</v>
      </c>
      <c r="D9" s="79"/>
      <c r="E9" s="80"/>
      <c r="F9" s="81"/>
      <c r="G9" s="82"/>
      <c r="H9" s="83"/>
      <c r="I9" s="84"/>
      <c r="J9" s="76"/>
      <c r="K9" s="53"/>
      <c r="L9" s="85">
        <f t="shared" si="0"/>
        <v>71</v>
      </c>
      <c r="M9" s="86">
        <f t="shared" si="1"/>
        <v>71</v>
      </c>
      <c r="N9" s="86">
        <f t="shared" ref="N9:N13" si="2">SUM(J9:K9)</f>
        <v>0</v>
      </c>
      <c r="O9" s="66"/>
      <c r="Q9" s="67"/>
      <c r="R9" s="67"/>
      <c r="S9" s="67"/>
      <c r="T9" s="67"/>
      <c r="U9" s="67"/>
      <c r="V9" s="67"/>
      <c r="W9" s="67"/>
      <c r="Y9" s="67"/>
      <c r="Z9" s="67"/>
      <c r="AA9" s="67"/>
      <c r="AB9" s="67"/>
      <c r="AC9" s="67"/>
      <c r="AD9" s="67"/>
      <c r="AE9" s="67"/>
      <c r="AG9" s="68"/>
      <c r="AH9" s="68"/>
      <c r="AI9" s="68"/>
      <c r="AJ9" s="68"/>
      <c r="AK9" s="68"/>
      <c r="AL9" s="68"/>
      <c r="AM9" s="68"/>
      <c r="AO9" s="68"/>
      <c r="AP9" s="68"/>
      <c r="AQ9" s="68"/>
      <c r="AR9" s="68"/>
      <c r="AS9" s="68"/>
      <c r="AT9" s="68"/>
      <c r="AU9" s="68"/>
      <c r="AW9" s="68"/>
      <c r="AX9" s="68"/>
      <c r="AY9" s="68"/>
      <c r="AZ9" s="68"/>
      <c r="BA9" s="68"/>
      <c r="BB9" s="68"/>
      <c r="BC9" s="68"/>
      <c r="BE9" s="68"/>
      <c r="BF9" s="68"/>
      <c r="BG9" s="68"/>
      <c r="BH9" s="68"/>
      <c r="BI9" s="68"/>
      <c r="BJ9" s="68"/>
      <c r="BK9" s="68"/>
    </row>
    <row r="10" spans="1:63">
      <c r="A10" s="40">
        <v>4</v>
      </c>
      <c r="B10" s="40" t="s">
        <v>7</v>
      </c>
      <c r="C10" s="87"/>
      <c r="D10" s="79"/>
      <c r="E10" s="71"/>
      <c r="F10" s="81"/>
      <c r="G10" s="73">
        <v>43.8</v>
      </c>
      <c r="H10" s="74"/>
      <c r="I10" s="84"/>
      <c r="J10" s="88">
        <v>2.2000000000000002</v>
      </c>
      <c r="K10" s="53"/>
      <c r="L10" s="89">
        <f t="shared" si="0"/>
        <v>46</v>
      </c>
      <c r="M10" s="90">
        <f t="shared" si="1"/>
        <v>43.8</v>
      </c>
      <c r="N10" s="90">
        <f t="shared" si="2"/>
        <v>2.2000000000000002</v>
      </c>
      <c r="O10" s="66"/>
      <c r="Q10" s="67"/>
      <c r="R10" s="67"/>
      <c r="S10" s="67"/>
      <c r="T10" s="67"/>
      <c r="U10" s="67"/>
      <c r="V10" s="67"/>
      <c r="W10" s="67"/>
      <c r="Y10" s="67"/>
      <c r="Z10" s="67"/>
      <c r="AA10" s="67"/>
      <c r="AB10" s="67"/>
      <c r="AC10" s="67"/>
      <c r="AD10" s="67"/>
      <c r="AE10" s="67"/>
      <c r="AG10" s="68"/>
      <c r="AH10" s="68"/>
      <c r="AI10" s="68"/>
      <c r="AJ10" s="68"/>
      <c r="AK10" s="68"/>
      <c r="AL10" s="68"/>
      <c r="AM10" s="68"/>
      <c r="AO10" s="68"/>
      <c r="AP10" s="68"/>
      <c r="AQ10" s="68"/>
      <c r="AR10" s="68"/>
      <c r="AS10" s="68"/>
      <c r="AT10" s="68"/>
      <c r="AU10" s="68"/>
      <c r="AW10" s="68"/>
      <c r="AX10" s="68"/>
      <c r="AY10" s="68"/>
      <c r="AZ10" s="68"/>
      <c r="BA10" s="68"/>
      <c r="BB10" s="68"/>
      <c r="BC10" s="68"/>
      <c r="BE10" s="68"/>
      <c r="BF10" s="68"/>
      <c r="BG10" s="68"/>
      <c r="BH10" s="68"/>
      <c r="BI10" s="68"/>
      <c r="BJ10" s="68"/>
      <c r="BK10" s="68"/>
    </row>
    <row r="11" spans="1:63">
      <c r="A11" s="41">
        <v>5</v>
      </c>
      <c r="B11" s="50" t="s">
        <v>8</v>
      </c>
      <c r="C11" s="69">
        <v>1</v>
      </c>
      <c r="D11" s="79"/>
      <c r="E11" s="71"/>
      <c r="F11" s="72"/>
      <c r="G11" s="82"/>
      <c r="H11" s="74"/>
      <c r="I11" s="75"/>
      <c r="J11" s="88">
        <v>44.7</v>
      </c>
      <c r="K11" s="53"/>
      <c r="L11" s="91">
        <f t="shared" si="0"/>
        <v>45.7</v>
      </c>
      <c r="M11" s="92">
        <f t="shared" si="1"/>
        <v>1</v>
      </c>
      <c r="N11" s="92">
        <f t="shared" si="2"/>
        <v>44.7</v>
      </c>
      <c r="O11" s="66"/>
      <c r="Q11" s="67"/>
      <c r="R11" s="67"/>
      <c r="S11" s="67"/>
      <c r="T11" s="67"/>
      <c r="U11" s="67"/>
      <c r="V11" s="67"/>
      <c r="W11" s="67"/>
      <c r="Y11" s="67"/>
      <c r="Z11" s="67"/>
      <c r="AA11" s="67"/>
      <c r="AB11" s="67"/>
      <c r="AC11" s="67"/>
      <c r="AD11" s="67"/>
      <c r="AE11" s="67"/>
      <c r="AG11" s="68"/>
      <c r="AH11" s="68"/>
      <c r="AI11" s="68"/>
      <c r="AJ11" s="68"/>
      <c r="AK11" s="68"/>
      <c r="AL11" s="68"/>
      <c r="AM11" s="68"/>
      <c r="AO11" s="68"/>
      <c r="AP11" s="68"/>
      <c r="AQ11" s="68"/>
      <c r="AR11" s="68"/>
      <c r="AS11" s="68"/>
      <c r="AT11" s="68"/>
      <c r="AU11" s="68"/>
      <c r="AW11" s="68"/>
      <c r="AX11" s="68"/>
      <c r="AY11" s="68"/>
      <c r="AZ11" s="68"/>
      <c r="BA11" s="68"/>
      <c r="BB11" s="68"/>
      <c r="BC11" s="68"/>
      <c r="BE11" s="68"/>
      <c r="BF11" s="68"/>
      <c r="BG11" s="68"/>
      <c r="BH11" s="68"/>
      <c r="BI11" s="68"/>
      <c r="BJ11" s="68"/>
      <c r="BK11" s="68"/>
    </row>
    <row r="12" spans="1:63">
      <c r="A12" s="42">
        <v>6</v>
      </c>
      <c r="B12" s="51" t="s">
        <v>9</v>
      </c>
      <c r="C12" s="69"/>
      <c r="D12" s="79"/>
      <c r="E12" s="80"/>
      <c r="F12" s="72"/>
      <c r="G12" s="73"/>
      <c r="H12" s="83"/>
      <c r="I12" s="84"/>
      <c r="J12" s="88">
        <v>2.7</v>
      </c>
      <c r="K12" s="53"/>
      <c r="L12" s="93">
        <f t="shared" si="0"/>
        <v>2.7</v>
      </c>
      <c r="M12" s="94">
        <f t="shared" si="1"/>
        <v>0</v>
      </c>
      <c r="N12" s="94">
        <f t="shared" si="2"/>
        <v>2.7</v>
      </c>
      <c r="O12" s="66"/>
      <c r="Q12" s="67"/>
      <c r="R12" s="67"/>
      <c r="S12" s="67"/>
      <c r="T12" s="67"/>
      <c r="U12" s="67"/>
      <c r="V12" s="67"/>
      <c r="W12" s="67"/>
      <c r="Y12" s="67"/>
      <c r="Z12" s="67"/>
      <c r="AA12" s="67"/>
      <c r="AB12" s="67"/>
      <c r="AC12" s="67"/>
      <c r="AD12" s="67"/>
      <c r="AE12" s="67"/>
      <c r="AG12" s="68"/>
      <c r="AH12" s="68"/>
      <c r="AI12" s="68"/>
      <c r="AJ12" s="68"/>
      <c r="AK12" s="68"/>
      <c r="AL12" s="68"/>
      <c r="AM12" s="68"/>
      <c r="AO12" s="68"/>
      <c r="AP12" s="68"/>
      <c r="AQ12" s="68"/>
      <c r="AR12" s="68"/>
      <c r="AS12" s="68"/>
      <c r="AT12" s="68"/>
      <c r="AU12" s="68"/>
      <c r="AW12" s="68"/>
      <c r="AX12" s="68"/>
      <c r="AY12" s="68"/>
      <c r="AZ12" s="68"/>
      <c r="BA12" s="68"/>
      <c r="BB12" s="68"/>
      <c r="BC12" s="68"/>
      <c r="BE12" s="68"/>
      <c r="BF12" s="68"/>
      <c r="BG12" s="68"/>
      <c r="BH12" s="68"/>
      <c r="BI12" s="68"/>
      <c r="BJ12" s="68"/>
      <c r="BK12" s="68"/>
    </row>
    <row r="13" spans="1:63">
      <c r="A13" s="43">
        <v>7</v>
      </c>
      <c r="B13" s="43" t="s">
        <v>60</v>
      </c>
      <c r="C13" s="95"/>
      <c r="D13" s="96">
        <v>1</v>
      </c>
      <c r="E13" s="97"/>
      <c r="F13" s="98"/>
      <c r="G13" s="99">
        <v>1.9</v>
      </c>
      <c r="H13" s="100"/>
      <c r="I13" s="101"/>
      <c r="J13" s="76"/>
      <c r="K13" s="53"/>
      <c r="L13" s="102">
        <f t="shared" si="0"/>
        <v>2.9</v>
      </c>
      <c r="M13" s="103">
        <f t="shared" si="1"/>
        <v>2.9</v>
      </c>
      <c r="N13" s="103">
        <f t="shared" si="2"/>
        <v>0</v>
      </c>
      <c r="O13" s="66"/>
      <c r="Q13" s="67"/>
      <c r="R13" s="67"/>
      <c r="S13" s="67"/>
      <c r="T13" s="67"/>
      <c r="U13" s="67"/>
      <c r="V13" s="67"/>
      <c r="W13" s="67"/>
      <c r="Y13" s="67"/>
      <c r="Z13" s="67"/>
      <c r="AA13" s="67"/>
      <c r="AB13" s="67"/>
      <c r="AC13" s="67"/>
      <c r="AD13" s="67"/>
      <c r="AE13" s="67"/>
      <c r="AG13" s="68"/>
      <c r="AH13" s="68"/>
      <c r="AI13" s="68"/>
      <c r="AJ13" s="68"/>
      <c r="AK13" s="68"/>
      <c r="AL13" s="68"/>
      <c r="AM13" s="68"/>
      <c r="AO13" s="68"/>
      <c r="AP13" s="68"/>
      <c r="AQ13" s="68"/>
      <c r="AR13" s="68"/>
      <c r="AS13" s="68"/>
      <c r="AT13" s="68"/>
      <c r="AU13" s="68"/>
      <c r="AW13" s="68"/>
      <c r="AX13" s="68"/>
      <c r="AY13" s="68"/>
      <c r="AZ13" s="68"/>
      <c r="BA13" s="68"/>
      <c r="BB13" s="68"/>
      <c r="BC13" s="68"/>
      <c r="BE13" s="68"/>
      <c r="BF13" s="68"/>
      <c r="BG13" s="68"/>
      <c r="BH13" s="68"/>
      <c r="BI13" s="68"/>
      <c r="BJ13" s="68"/>
      <c r="BK13" s="68"/>
    </row>
    <row r="14" spans="1:63">
      <c r="A14" s="44">
        <v>8</v>
      </c>
      <c r="B14" s="52" t="s">
        <v>10</v>
      </c>
      <c r="C14" s="104">
        <f>SUM(J10:J12)</f>
        <v>49.600000000000009</v>
      </c>
      <c r="D14" s="104"/>
      <c r="E14" s="71"/>
      <c r="F14" s="72"/>
      <c r="G14" s="73"/>
      <c r="H14" s="74"/>
      <c r="I14" s="105"/>
      <c r="J14" s="63"/>
      <c r="K14" s="53"/>
      <c r="L14" s="102">
        <f t="shared" si="0"/>
        <v>49.600000000000009</v>
      </c>
      <c r="M14" s="106"/>
      <c r="N14" s="66"/>
      <c r="O14" s="66"/>
    </row>
    <row r="15" spans="1:63">
      <c r="A15" s="45"/>
      <c r="B15" s="107"/>
      <c r="C15" s="107"/>
      <c r="D15" s="108"/>
      <c r="E15" s="109"/>
      <c r="F15" s="110"/>
      <c r="G15" s="111"/>
      <c r="H15" s="112"/>
      <c r="I15" s="112"/>
      <c r="J15" s="112"/>
      <c r="K15" s="53"/>
      <c r="L15" s="102"/>
      <c r="M15" s="113"/>
      <c r="N15" s="114"/>
      <c r="O15" s="115"/>
    </row>
    <row r="16" spans="1:63">
      <c r="B16" s="116" t="s">
        <v>14</v>
      </c>
      <c r="C16" s="117">
        <f t="shared" ref="C16:J16" si="3">SUM(C7:C15)</f>
        <v>121.60000000000001</v>
      </c>
      <c r="D16" s="118">
        <f t="shared" si="3"/>
        <v>117</v>
      </c>
      <c r="E16" s="119">
        <f t="shared" si="3"/>
        <v>71</v>
      </c>
      <c r="F16" s="120">
        <f t="shared" si="3"/>
        <v>46</v>
      </c>
      <c r="G16" s="121">
        <f t="shared" si="3"/>
        <v>45.699999999999996</v>
      </c>
      <c r="H16" s="122">
        <f t="shared" si="3"/>
        <v>2.7</v>
      </c>
      <c r="I16" s="123">
        <f t="shared" si="3"/>
        <v>2.9</v>
      </c>
      <c r="J16" s="124">
        <f t="shared" si="3"/>
        <v>49.600000000000009</v>
      </c>
      <c r="K16" s="125"/>
      <c r="L16" s="126">
        <f>SUM(C16:I16)</f>
        <v>406.9</v>
      </c>
      <c r="M16" s="127" t="s">
        <v>15</v>
      </c>
      <c r="N16" s="128"/>
    </row>
    <row r="17" spans="1:63">
      <c r="B17" s="129" t="s">
        <v>16</v>
      </c>
      <c r="C17" s="65">
        <f t="shared" ref="C17:I17" si="4">SUM(C7:C13)</f>
        <v>72</v>
      </c>
      <c r="D17" s="78">
        <f t="shared" si="4"/>
        <v>117</v>
      </c>
      <c r="E17" s="86">
        <f t="shared" si="4"/>
        <v>71</v>
      </c>
      <c r="F17" s="90">
        <f t="shared" si="4"/>
        <v>46</v>
      </c>
      <c r="G17" s="92">
        <f t="shared" si="4"/>
        <v>45.699999999999996</v>
      </c>
      <c r="H17" s="94">
        <f t="shared" si="4"/>
        <v>2.7</v>
      </c>
      <c r="I17" s="103">
        <f t="shared" si="4"/>
        <v>2.9</v>
      </c>
      <c r="K17" s="26"/>
      <c r="L17" s="130">
        <f>SUM(C17:I17)</f>
        <v>357.29999999999995</v>
      </c>
      <c r="M17" s="127">
        <f>L17/L18</f>
        <v>7.2036290322580623</v>
      </c>
      <c r="N17" s="66"/>
      <c r="O17" s="131"/>
    </row>
    <row r="18" spans="1:63">
      <c r="B18" s="132" t="s">
        <v>17</v>
      </c>
      <c r="C18" s="133">
        <f>C14+C15</f>
        <v>49.600000000000009</v>
      </c>
      <c r="D18" s="134">
        <f>D14+D15</f>
        <v>0</v>
      </c>
      <c r="E18" s="135">
        <f t="shared" ref="E18:H18" si="5">E14+E15</f>
        <v>0</v>
      </c>
      <c r="F18" s="136">
        <f t="shared" si="5"/>
        <v>0</v>
      </c>
      <c r="G18" s="137">
        <f t="shared" si="5"/>
        <v>0</v>
      </c>
      <c r="H18" s="138">
        <f t="shared" si="5"/>
        <v>0</v>
      </c>
      <c r="I18" s="139">
        <f>I14+I15</f>
        <v>0</v>
      </c>
      <c r="J18" s="140"/>
      <c r="K18" s="141"/>
      <c r="L18" s="130">
        <f>SUM(C18:I18)</f>
        <v>49.600000000000009</v>
      </c>
      <c r="M18" s="142"/>
      <c r="N18" s="66"/>
      <c r="O18" s="66"/>
    </row>
    <row r="19" spans="1:63">
      <c r="A19" s="143"/>
      <c r="B19" s="26"/>
      <c r="C19" s="142">
        <f>C16-L7</f>
        <v>0</v>
      </c>
      <c r="D19" s="142">
        <f>D16-L8</f>
        <v>0</v>
      </c>
      <c r="E19" s="142">
        <f>E16-L9</f>
        <v>0</v>
      </c>
      <c r="F19" s="142">
        <f>F16-L10</f>
        <v>0</v>
      </c>
      <c r="G19" s="142">
        <f>G16-L11</f>
        <v>0</v>
      </c>
      <c r="H19" s="142">
        <f>H16-L12</f>
        <v>0</v>
      </c>
      <c r="I19" s="142">
        <f>I16-L13</f>
        <v>0</v>
      </c>
      <c r="J19" s="44"/>
      <c r="K19" s="144"/>
      <c r="L19" s="145">
        <f>SUM(L7:L15)</f>
        <v>456.5</v>
      </c>
      <c r="M19" s="146">
        <f>SUM(M7:M13)</f>
        <v>357.3</v>
      </c>
      <c r="N19" s="147">
        <f>SUM(N7:N13)</f>
        <v>49.600000000000009</v>
      </c>
      <c r="O19" s="148">
        <f>M19+N19</f>
        <v>406.90000000000003</v>
      </c>
    </row>
    <row r="20" spans="1:63">
      <c r="A20" s="143"/>
      <c r="B20" s="143"/>
      <c r="C20" s="143"/>
      <c r="D20" s="143"/>
      <c r="E20" s="149"/>
      <c r="F20" s="143"/>
      <c r="G20" s="143"/>
      <c r="H20" s="150"/>
      <c r="I20" s="151"/>
      <c r="J20" s="44"/>
      <c r="K20" s="144"/>
      <c r="L20" s="152">
        <f>L17+L18</f>
        <v>406.9</v>
      </c>
      <c r="M20" s="153" t="s">
        <v>15</v>
      </c>
      <c r="N20" s="66"/>
      <c r="O20" s="148">
        <f>SUM(C16:K16)</f>
        <v>456.5</v>
      </c>
    </row>
    <row r="21" spans="1:63">
      <c r="A21" s="143"/>
      <c r="B21" s="143"/>
      <c r="C21" s="143"/>
      <c r="D21" s="143"/>
      <c r="E21" s="143"/>
      <c r="F21" s="143"/>
      <c r="G21" s="143"/>
      <c r="H21" s="149"/>
      <c r="I21" s="154"/>
      <c r="J21" s="149"/>
      <c r="K21" s="149"/>
      <c r="L21" s="155">
        <f>SUM(L7:L15)</f>
        <v>456.5</v>
      </c>
      <c r="M21" s="153">
        <f>M19/N19</f>
        <v>7.2036290322580632</v>
      </c>
      <c r="N21" s="66"/>
      <c r="O21" s="66"/>
    </row>
    <row r="22" spans="1:63">
      <c r="B22" s="143"/>
      <c r="C22" s="156"/>
      <c r="D22" s="144"/>
      <c r="E22" s="157"/>
      <c r="F22" s="143"/>
      <c r="G22" s="149"/>
      <c r="H22" s="158" t="s">
        <v>18</v>
      </c>
      <c r="I22" s="158"/>
      <c r="K22" s="158"/>
      <c r="L22" s="159">
        <f>L20/L7</f>
        <v>3.3462171052631575</v>
      </c>
      <c r="M22" s="158" t="s">
        <v>19</v>
      </c>
      <c r="N22" s="159">
        <f>(L20-L7)/L7</f>
        <v>2.3462171052631575</v>
      </c>
      <c r="O22" s="28"/>
    </row>
    <row r="25" spans="1:63">
      <c r="B25" s="27" t="s">
        <v>47</v>
      </c>
      <c r="C25" s="28"/>
      <c r="D25" s="28"/>
      <c r="E25" s="28"/>
      <c r="G25" s="29" t="s">
        <v>1</v>
      </c>
      <c r="I25" s="30">
        <v>8</v>
      </c>
      <c r="J25" s="29" t="s">
        <v>2</v>
      </c>
      <c r="L25" s="30">
        <v>14</v>
      </c>
      <c r="M25" s="31">
        <f>L25/I25</f>
        <v>1.75</v>
      </c>
      <c r="N25" s="32"/>
      <c r="O25" s="33"/>
    </row>
    <row r="26" spans="1:63">
      <c r="B26" s="34" t="s">
        <v>3</v>
      </c>
      <c r="C26" s="34"/>
      <c r="D26" s="34"/>
      <c r="E26" s="35"/>
      <c r="F26" s="28"/>
      <c r="G26" s="28"/>
      <c r="H26" s="28"/>
      <c r="I26" s="28"/>
      <c r="J26" s="28"/>
      <c r="K26" s="28"/>
      <c r="L26" s="32"/>
      <c r="M26" s="32"/>
      <c r="N26" s="32"/>
      <c r="O26" s="33"/>
    </row>
    <row r="27" spans="1:63">
      <c r="B27" s="36" t="s">
        <v>4</v>
      </c>
      <c r="C27" s="37">
        <v>1</v>
      </c>
      <c r="D27" s="38">
        <v>2</v>
      </c>
      <c r="E27" s="39">
        <v>3</v>
      </c>
      <c r="F27" s="40">
        <v>4</v>
      </c>
      <c r="G27" s="41">
        <v>5</v>
      </c>
      <c r="H27" s="42">
        <v>6</v>
      </c>
      <c r="I27" s="43">
        <v>7</v>
      </c>
      <c r="J27" s="44">
        <v>8</v>
      </c>
      <c r="K27" s="45"/>
      <c r="L27" s="46"/>
      <c r="M27" s="46"/>
      <c r="O27" s="32"/>
    </row>
    <row r="28" spans="1:63">
      <c r="A28" s="47" t="s">
        <v>5</v>
      </c>
      <c r="C28" s="37" t="s">
        <v>6</v>
      </c>
      <c r="D28" s="38" t="s">
        <v>59</v>
      </c>
      <c r="E28" s="49" t="s">
        <v>58</v>
      </c>
      <c r="F28" s="40" t="s">
        <v>7</v>
      </c>
      <c r="G28" s="50" t="s">
        <v>8</v>
      </c>
      <c r="H28" s="51" t="s">
        <v>9</v>
      </c>
      <c r="I28" s="43" t="s">
        <v>60</v>
      </c>
      <c r="J28" s="52" t="s">
        <v>10</v>
      </c>
      <c r="K28" s="53"/>
      <c r="L28" s="160" t="s">
        <v>11</v>
      </c>
      <c r="M28" s="161" t="s">
        <v>12</v>
      </c>
      <c r="N28" s="161" t="s">
        <v>13</v>
      </c>
      <c r="O28" s="28"/>
    </row>
    <row r="29" spans="1:63">
      <c r="A29" s="37">
        <v>1</v>
      </c>
      <c r="B29" s="37" t="s">
        <v>6</v>
      </c>
      <c r="C29" s="56"/>
      <c r="D29" s="57">
        <f>110</f>
        <v>110</v>
      </c>
      <c r="E29" s="58"/>
      <c r="F29" s="59"/>
      <c r="G29" s="60"/>
      <c r="H29" s="61">
        <v>3.1</v>
      </c>
      <c r="I29" s="62">
        <f>5-3.1</f>
        <v>1.9</v>
      </c>
      <c r="J29" s="63"/>
      <c r="K29" s="53"/>
      <c r="L29" s="64">
        <f t="shared" ref="L29:L36" si="6">SUM(C29:K29)</f>
        <v>115</v>
      </c>
      <c r="M29" s="65">
        <f t="shared" ref="M29:M35" si="7">SUM(C29:I29)</f>
        <v>115</v>
      </c>
      <c r="N29" s="65">
        <f>SUM(J29:K29)</f>
        <v>0</v>
      </c>
      <c r="O29" s="66"/>
      <c r="Q29" s="67"/>
      <c r="R29" s="67"/>
      <c r="S29" s="67"/>
      <c r="T29" s="67"/>
      <c r="U29" s="67"/>
      <c r="V29" s="67"/>
      <c r="W29" s="67"/>
      <c r="Y29" s="67"/>
      <c r="Z29" s="67"/>
      <c r="AA29" s="67"/>
      <c r="AB29" s="67"/>
      <c r="AC29" s="67"/>
      <c r="AD29" s="67"/>
      <c r="AE29" s="67"/>
      <c r="AG29" s="68"/>
      <c r="AH29" s="68"/>
      <c r="AI29" s="68"/>
      <c r="AJ29" s="68"/>
      <c r="AK29" s="68"/>
      <c r="AL29" s="68"/>
      <c r="AM29" s="68"/>
      <c r="AO29" s="68"/>
      <c r="AP29" s="68"/>
      <c r="AQ29" s="68"/>
      <c r="AR29" s="68"/>
      <c r="AS29" s="68"/>
      <c r="AT29" s="68"/>
      <c r="AU29" s="68"/>
      <c r="AW29" s="68"/>
      <c r="AX29" s="68"/>
      <c r="AY29" s="68"/>
      <c r="AZ29" s="68"/>
      <c r="BA29" s="68"/>
      <c r="BB29" s="68"/>
      <c r="BC29" s="68"/>
      <c r="BE29" s="68"/>
      <c r="BF29" s="68"/>
      <c r="BG29" s="68"/>
      <c r="BH29" s="68"/>
      <c r="BI29" s="68"/>
      <c r="BJ29" s="68"/>
      <c r="BK29" s="68"/>
    </row>
    <row r="30" spans="1:63">
      <c r="A30" s="38">
        <v>2</v>
      </c>
      <c r="B30" s="38" t="s">
        <v>59</v>
      </c>
      <c r="C30" s="69"/>
      <c r="D30" s="70"/>
      <c r="E30" s="71">
        <v>50</v>
      </c>
      <c r="F30" s="72">
        <v>14.4</v>
      </c>
      <c r="G30" s="73">
        <v>46</v>
      </c>
      <c r="H30" s="74"/>
      <c r="I30" s="75"/>
      <c r="J30" s="76"/>
      <c r="K30" s="53"/>
      <c r="L30" s="77">
        <f t="shared" si="6"/>
        <v>110.4</v>
      </c>
      <c r="M30" s="78">
        <f t="shared" si="7"/>
        <v>110.4</v>
      </c>
      <c r="N30" s="78">
        <f>SUM(J30:K30)</f>
        <v>0</v>
      </c>
      <c r="O30" s="66"/>
      <c r="Q30" s="67"/>
      <c r="R30" s="67"/>
      <c r="S30" s="67"/>
      <c r="T30" s="67"/>
      <c r="U30" s="67"/>
      <c r="V30" s="67"/>
      <c r="W30" s="67"/>
      <c r="Y30" s="67"/>
      <c r="Z30" s="67"/>
      <c r="AA30" s="67"/>
      <c r="AB30" s="67"/>
      <c r="AC30" s="67"/>
      <c r="AD30" s="67"/>
      <c r="AE30" s="67"/>
      <c r="AG30" s="68"/>
      <c r="AH30" s="68"/>
      <c r="AI30" s="68"/>
      <c r="AJ30" s="68"/>
      <c r="AK30" s="68"/>
      <c r="AL30" s="68"/>
      <c r="AM30" s="68"/>
      <c r="AO30" s="68"/>
      <c r="AP30" s="68"/>
      <c r="AQ30" s="68"/>
      <c r="AR30" s="68"/>
      <c r="AS30" s="68"/>
      <c r="AT30" s="68"/>
      <c r="AU30" s="68"/>
      <c r="AW30" s="68"/>
      <c r="AX30" s="68"/>
      <c r="AY30" s="68"/>
      <c r="AZ30" s="68"/>
      <c r="BA30" s="68"/>
      <c r="BB30" s="68"/>
      <c r="BC30" s="68"/>
      <c r="BE30" s="68"/>
      <c r="BF30" s="68"/>
      <c r="BG30" s="68"/>
      <c r="BH30" s="68"/>
      <c r="BI30" s="68"/>
      <c r="BJ30" s="68"/>
      <c r="BK30" s="68"/>
    </row>
    <row r="31" spans="1:63">
      <c r="A31" s="39">
        <v>3</v>
      </c>
      <c r="B31" s="49" t="s">
        <v>58</v>
      </c>
      <c r="C31" s="69">
        <f>69</f>
        <v>69</v>
      </c>
      <c r="D31" s="79"/>
      <c r="E31" s="80"/>
      <c r="F31" s="81"/>
      <c r="G31" s="82"/>
      <c r="H31" s="83"/>
      <c r="I31" s="84"/>
      <c r="J31" s="76"/>
      <c r="K31" s="53"/>
      <c r="L31" s="85">
        <f t="shared" si="6"/>
        <v>69</v>
      </c>
      <c r="M31" s="86">
        <f t="shared" si="7"/>
        <v>69</v>
      </c>
      <c r="N31" s="86">
        <f t="shared" ref="N31:N35" si="8">SUM(J31:K31)</f>
        <v>0</v>
      </c>
      <c r="O31" s="66"/>
      <c r="Q31" s="67"/>
      <c r="R31" s="67"/>
      <c r="S31" s="67"/>
      <c r="T31" s="67"/>
      <c r="U31" s="67"/>
      <c r="V31" s="67"/>
      <c r="W31" s="67"/>
      <c r="Y31" s="67"/>
      <c r="Z31" s="67"/>
      <c r="AA31" s="67"/>
      <c r="AB31" s="67"/>
      <c r="AC31" s="67"/>
      <c r="AD31" s="67"/>
      <c r="AE31" s="67"/>
      <c r="AG31" s="68"/>
      <c r="AH31" s="68"/>
      <c r="AI31" s="68"/>
      <c r="AJ31" s="68"/>
      <c r="AK31" s="68"/>
      <c r="AL31" s="68"/>
      <c r="AM31" s="68"/>
      <c r="AO31" s="68"/>
      <c r="AP31" s="68"/>
      <c r="AQ31" s="68"/>
      <c r="AR31" s="68"/>
      <c r="AS31" s="68"/>
      <c r="AT31" s="68"/>
      <c r="AU31" s="68"/>
      <c r="AW31" s="68"/>
      <c r="AX31" s="68"/>
      <c r="AY31" s="68"/>
      <c r="AZ31" s="68"/>
      <c r="BA31" s="68"/>
      <c r="BB31" s="68"/>
      <c r="BC31" s="68"/>
      <c r="BE31" s="68"/>
      <c r="BF31" s="68"/>
      <c r="BG31" s="68"/>
      <c r="BH31" s="68"/>
      <c r="BI31" s="68"/>
      <c r="BJ31" s="68"/>
      <c r="BK31" s="68"/>
    </row>
    <row r="32" spans="1:63">
      <c r="A32" s="40">
        <v>4</v>
      </c>
      <c r="B32" s="40" t="s">
        <v>7</v>
      </c>
      <c r="C32" s="87"/>
      <c r="D32" s="105"/>
      <c r="E32" s="71"/>
      <c r="F32" s="81"/>
      <c r="G32" s="73"/>
      <c r="H32" s="74"/>
      <c r="I32" s="75">
        <v>9.9</v>
      </c>
      <c r="J32" s="88">
        <v>4.5</v>
      </c>
      <c r="K32" s="53"/>
      <c r="L32" s="89">
        <f t="shared" si="6"/>
        <v>14.4</v>
      </c>
      <c r="M32" s="90">
        <f t="shared" si="7"/>
        <v>9.9</v>
      </c>
      <c r="N32" s="90">
        <f t="shared" si="8"/>
        <v>4.5</v>
      </c>
      <c r="O32" s="66"/>
      <c r="Q32" s="67"/>
      <c r="R32" s="67"/>
      <c r="S32" s="67"/>
      <c r="T32" s="67"/>
      <c r="U32" s="67"/>
      <c r="V32" s="67"/>
      <c r="W32" s="67"/>
      <c r="Y32" s="67"/>
      <c r="Z32" s="67"/>
      <c r="AA32" s="67"/>
      <c r="AB32" s="67"/>
      <c r="AC32" s="67"/>
      <c r="AD32" s="67"/>
      <c r="AE32" s="67"/>
      <c r="AG32" s="68"/>
      <c r="AH32" s="68"/>
      <c r="AI32" s="68"/>
      <c r="AJ32" s="68"/>
      <c r="AK32" s="68"/>
      <c r="AL32" s="68"/>
      <c r="AM32" s="68"/>
      <c r="AO32" s="68"/>
      <c r="AP32" s="68"/>
      <c r="AQ32" s="68"/>
      <c r="AR32" s="68"/>
      <c r="AS32" s="68"/>
      <c r="AT32" s="68"/>
      <c r="AU32" s="68"/>
      <c r="AW32" s="68"/>
      <c r="AX32" s="68"/>
      <c r="AY32" s="68"/>
      <c r="AZ32" s="68"/>
      <c r="BA32" s="68"/>
      <c r="BB32" s="68"/>
      <c r="BC32" s="68"/>
      <c r="BE32" s="68"/>
      <c r="BF32" s="68"/>
      <c r="BG32" s="68"/>
      <c r="BH32" s="68"/>
      <c r="BI32" s="68"/>
      <c r="BJ32" s="68"/>
      <c r="BK32" s="68"/>
    </row>
    <row r="33" spans="1:63">
      <c r="A33" s="41">
        <v>5</v>
      </c>
      <c r="B33" s="50" t="s">
        <v>8</v>
      </c>
      <c r="C33" s="69"/>
      <c r="D33" s="79"/>
      <c r="E33" s="71"/>
      <c r="F33" s="72"/>
      <c r="G33" s="82"/>
      <c r="H33" s="74"/>
      <c r="I33" s="75"/>
      <c r="J33" s="88">
        <v>46</v>
      </c>
      <c r="K33" s="53"/>
      <c r="L33" s="91">
        <f t="shared" si="6"/>
        <v>46</v>
      </c>
      <c r="M33" s="92">
        <f t="shared" si="7"/>
        <v>0</v>
      </c>
      <c r="N33" s="92">
        <f t="shared" si="8"/>
        <v>46</v>
      </c>
      <c r="O33" s="66"/>
      <c r="Q33" s="67"/>
      <c r="R33" s="67"/>
      <c r="S33" s="67"/>
      <c r="T33" s="67"/>
      <c r="U33" s="67"/>
      <c r="V33" s="67"/>
      <c r="W33" s="67"/>
      <c r="Y33" s="67"/>
      <c r="Z33" s="67"/>
      <c r="AA33" s="67"/>
      <c r="AB33" s="67"/>
      <c r="AC33" s="67"/>
      <c r="AD33" s="67"/>
      <c r="AE33" s="67"/>
      <c r="AG33" s="68"/>
      <c r="AH33" s="68"/>
      <c r="AI33" s="68"/>
      <c r="AJ33" s="68"/>
      <c r="AK33" s="68"/>
      <c r="AL33" s="68"/>
      <c r="AM33" s="68"/>
      <c r="AO33" s="68"/>
      <c r="AP33" s="68"/>
      <c r="AQ33" s="68"/>
      <c r="AR33" s="68"/>
      <c r="AS33" s="68"/>
      <c r="AT33" s="68"/>
      <c r="AU33" s="68"/>
      <c r="AW33" s="68"/>
      <c r="AX33" s="68"/>
      <c r="AY33" s="68"/>
      <c r="AZ33" s="68"/>
      <c r="BA33" s="68"/>
      <c r="BB33" s="68"/>
      <c r="BC33" s="68"/>
      <c r="BE33" s="68"/>
      <c r="BF33" s="68"/>
      <c r="BG33" s="68"/>
      <c r="BH33" s="68"/>
      <c r="BI33" s="68"/>
      <c r="BJ33" s="68"/>
      <c r="BK33" s="68"/>
    </row>
    <row r="34" spans="1:63">
      <c r="A34" s="42">
        <v>6</v>
      </c>
      <c r="B34" s="51" t="s">
        <v>9</v>
      </c>
      <c r="C34" s="69"/>
      <c r="D34" s="79"/>
      <c r="E34" s="80"/>
      <c r="F34" s="72"/>
      <c r="G34" s="73"/>
      <c r="H34" s="83"/>
      <c r="I34" s="84"/>
      <c r="J34" s="88">
        <v>3.1</v>
      </c>
      <c r="K34" s="53"/>
      <c r="L34" s="93">
        <f t="shared" si="6"/>
        <v>3.1</v>
      </c>
      <c r="M34" s="94">
        <f t="shared" si="7"/>
        <v>0</v>
      </c>
      <c r="N34" s="94">
        <f t="shared" si="8"/>
        <v>3.1</v>
      </c>
      <c r="O34" s="66"/>
      <c r="Q34" s="67"/>
      <c r="R34" s="67"/>
      <c r="S34" s="67"/>
      <c r="T34" s="67"/>
      <c r="U34" s="67"/>
      <c r="V34" s="67"/>
      <c r="W34" s="67"/>
      <c r="Y34" s="67"/>
      <c r="Z34" s="67"/>
      <c r="AA34" s="67"/>
      <c r="AB34" s="67"/>
      <c r="AC34" s="67"/>
      <c r="AD34" s="67"/>
      <c r="AE34" s="67"/>
      <c r="AG34" s="68"/>
      <c r="AH34" s="68"/>
      <c r="AI34" s="68"/>
      <c r="AJ34" s="68"/>
      <c r="AK34" s="68"/>
      <c r="AL34" s="68"/>
      <c r="AM34" s="68"/>
      <c r="AO34" s="68"/>
      <c r="AP34" s="68"/>
      <c r="AQ34" s="68"/>
      <c r="AR34" s="68"/>
      <c r="AS34" s="68"/>
      <c r="AT34" s="68"/>
      <c r="AU34" s="68"/>
      <c r="AW34" s="68"/>
      <c r="AX34" s="68"/>
      <c r="AY34" s="68"/>
      <c r="AZ34" s="68"/>
      <c r="BA34" s="68"/>
      <c r="BB34" s="68"/>
      <c r="BC34" s="68"/>
      <c r="BE34" s="68"/>
      <c r="BF34" s="68"/>
      <c r="BG34" s="68"/>
      <c r="BH34" s="68"/>
      <c r="BI34" s="68"/>
      <c r="BJ34" s="68"/>
      <c r="BK34" s="68"/>
    </row>
    <row r="35" spans="1:63">
      <c r="A35" s="43">
        <v>7</v>
      </c>
      <c r="B35" s="43" t="s">
        <v>60</v>
      </c>
      <c r="C35" s="95"/>
      <c r="D35" s="96">
        <v>0.4</v>
      </c>
      <c r="E35" s="97">
        <v>19</v>
      </c>
      <c r="F35" s="162"/>
      <c r="G35" s="99"/>
      <c r="H35" s="100"/>
      <c r="I35" s="101"/>
      <c r="J35" s="76"/>
      <c r="K35" s="53"/>
      <c r="L35" s="102">
        <f t="shared" si="6"/>
        <v>19.399999999999999</v>
      </c>
      <c r="M35" s="103">
        <f t="shared" si="7"/>
        <v>19.399999999999999</v>
      </c>
      <c r="N35" s="103">
        <f t="shared" si="8"/>
        <v>0</v>
      </c>
      <c r="O35" s="66"/>
      <c r="Q35" s="67"/>
      <c r="R35" s="67"/>
      <c r="S35" s="67"/>
      <c r="T35" s="67"/>
      <c r="U35" s="67"/>
      <c r="V35" s="67"/>
      <c r="W35" s="67"/>
      <c r="Y35" s="67"/>
      <c r="Z35" s="67"/>
      <c r="AA35" s="67"/>
      <c r="AB35" s="67"/>
      <c r="AC35" s="67"/>
      <c r="AD35" s="67"/>
      <c r="AE35" s="67"/>
      <c r="AG35" s="68"/>
      <c r="AH35" s="68"/>
      <c r="AI35" s="68"/>
      <c r="AJ35" s="68"/>
      <c r="AK35" s="68"/>
      <c r="AL35" s="68"/>
      <c r="AM35" s="68"/>
      <c r="AO35" s="68"/>
      <c r="AP35" s="68"/>
      <c r="AQ35" s="68"/>
      <c r="AR35" s="68"/>
      <c r="AS35" s="68"/>
      <c r="AT35" s="68"/>
      <c r="AU35" s="68"/>
      <c r="AW35" s="68"/>
      <c r="AX35" s="68"/>
      <c r="AY35" s="68"/>
      <c r="AZ35" s="68"/>
      <c r="BA35" s="68"/>
      <c r="BB35" s="68"/>
      <c r="BC35" s="68"/>
      <c r="BE35" s="68"/>
      <c r="BF35" s="68"/>
      <c r="BG35" s="68"/>
      <c r="BH35" s="68"/>
      <c r="BI35" s="68"/>
      <c r="BJ35" s="68"/>
      <c r="BK35" s="68"/>
    </row>
    <row r="36" spans="1:63">
      <c r="A36" s="44">
        <v>8</v>
      </c>
      <c r="B36" s="52" t="s">
        <v>10</v>
      </c>
      <c r="C36" s="104">
        <v>46</v>
      </c>
      <c r="D36" s="163"/>
      <c r="E36" s="71"/>
      <c r="F36" s="72"/>
      <c r="G36" s="73"/>
      <c r="H36" s="74"/>
      <c r="I36" s="164">
        <v>7.6</v>
      </c>
      <c r="J36" s="63"/>
      <c r="K36" s="53"/>
      <c r="L36" s="102">
        <f t="shared" si="6"/>
        <v>53.6</v>
      </c>
      <c r="M36" s="106"/>
      <c r="N36" s="66"/>
      <c r="O36" s="66"/>
    </row>
    <row r="37" spans="1:63">
      <c r="A37" s="45"/>
      <c r="B37" s="107"/>
      <c r="C37" s="107"/>
      <c r="D37" s="108"/>
      <c r="E37" s="109"/>
      <c r="F37" s="110"/>
      <c r="G37" s="111"/>
      <c r="H37" s="112"/>
      <c r="I37" s="112"/>
      <c r="J37" s="112"/>
      <c r="K37" s="53"/>
      <c r="L37" s="102"/>
      <c r="M37" s="113"/>
      <c r="N37" s="114"/>
      <c r="O37" s="115"/>
    </row>
    <row r="38" spans="1:63">
      <c r="B38" s="116" t="s">
        <v>14</v>
      </c>
      <c r="C38" s="117">
        <f t="shared" ref="C38:J38" si="9">SUM(C29:C37)</f>
        <v>115</v>
      </c>
      <c r="D38" s="118">
        <f t="shared" si="9"/>
        <v>110.4</v>
      </c>
      <c r="E38" s="119">
        <f t="shared" si="9"/>
        <v>69</v>
      </c>
      <c r="F38" s="120">
        <f t="shared" si="9"/>
        <v>14.4</v>
      </c>
      <c r="G38" s="121">
        <f t="shared" si="9"/>
        <v>46</v>
      </c>
      <c r="H38" s="122">
        <f t="shared" si="9"/>
        <v>3.1</v>
      </c>
      <c r="I38" s="123">
        <f t="shared" si="9"/>
        <v>19.399999999999999</v>
      </c>
      <c r="J38" s="124">
        <f t="shared" si="9"/>
        <v>53.6</v>
      </c>
      <c r="K38" s="125"/>
      <c r="L38" s="126">
        <f>SUM(C38:I38)</f>
        <v>377.29999999999995</v>
      </c>
      <c r="M38" s="127" t="s">
        <v>15</v>
      </c>
      <c r="N38" s="128"/>
    </row>
    <row r="39" spans="1:63">
      <c r="B39" s="129" t="s">
        <v>16</v>
      </c>
      <c r="C39" s="65">
        <f t="shared" ref="C39:I39" si="10">SUM(C29:C35)</f>
        <v>69</v>
      </c>
      <c r="D39" s="78">
        <f t="shared" si="10"/>
        <v>110.4</v>
      </c>
      <c r="E39" s="86">
        <f t="shared" si="10"/>
        <v>69</v>
      </c>
      <c r="F39" s="90">
        <f t="shared" si="10"/>
        <v>14.4</v>
      </c>
      <c r="G39" s="92">
        <f t="shared" si="10"/>
        <v>46</v>
      </c>
      <c r="H39" s="94">
        <f t="shared" si="10"/>
        <v>3.1</v>
      </c>
      <c r="I39" s="103">
        <f t="shared" si="10"/>
        <v>11.8</v>
      </c>
      <c r="K39" s="26"/>
      <c r="L39" s="130">
        <f>SUM(C39:I39)</f>
        <v>323.70000000000005</v>
      </c>
      <c r="M39" s="127">
        <f>L39/L40</f>
        <v>6.0391791044776122</v>
      </c>
      <c r="N39" s="66"/>
      <c r="O39" s="131"/>
    </row>
    <row r="40" spans="1:63">
      <c r="B40" s="132" t="s">
        <v>17</v>
      </c>
      <c r="C40" s="133">
        <f>C36+C37</f>
        <v>46</v>
      </c>
      <c r="D40" s="134">
        <f>D36+D37</f>
        <v>0</v>
      </c>
      <c r="E40" s="135">
        <f t="shared" ref="E40:H40" si="11">E36+E37</f>
        <v>0</v>
      </c>
      <c r="F40" s="136">
        <f t="shared" si="11"/>
        <v>0</v>
      </c>
      <c r="G40" s="137">
        <f t="shared" si="11"/>
        <v>0</v>
      </c>
      <c r="H40" s="138">
        <f t="shared" si="11"/>
        <v>0</v>
      </c>
      <c r="I40" s="139">
        <f>I36+I37</f>
        <v>7.6</v>
      </c>
      <c r="J40" s="140"/>
      <c r="K40" s="141"/>
      <c r="L40" s="130">
        <f>SUM(C40:I40)</f>
        <v>53.6</v>
      </c>
      <c r="M40" s="142"/>
      <c r="N40" s="66"/>
      <c r="O40" s="66"/>
    </row>
    <row r="41" spans="1:63">
      <c r="A41" s="143"/>
      <c r="B41" s="26"/>
      <c r="C41" s="142">
        <f>C38-L29</f>
        <v>0</v>
      </c>
      <c r="D41" s="142">
        <f>D38-L30</f>
        <v>0</v>
      </c>
      <c r="E41" s="142">
        <f>E38-L31</f>
        <v>0</v>
      </c>
      <c r="F41" s="142">
        <f>F38-L32</f>
        <v>0</v>
      </c>
      <c r="G41" s="142">
        <f>G38-L33</f>
        <v>0</v>
      </c>
      <c r="H41" s="142">
        <f>H38-L34</f>
        <v>0</v>
      </c>
      <c r="I41" s="142">
        <f>I38-L35</f>
        <v>0</v>
      </c>
      <c r="J41" s="44"/>
      <c r="K41" s="144"/>
      <c r="L41" s="145">
        <f>SUM(L29:L37)</f>
        <v>430.9</v>
      </c>
      <c r="M41" s="146">
        <f>SUM(M29:M35)</f>
        <v>323.69999999999993</v>
      </c>
      <c r="N41" s="147">
        <f>SUM(N29:N35)</f>
        <v>53.6</v>
      </c>
      <c r="O41" s="148">
        <f>M41+N41</f>
        <v>377.29999999999995</v>
      </c>
    </row>
    <row r="42" spans="1:63">
      <c r="A42" s="143"/>
      <c r="B42" s="143"/>
      <c r="C42" s="143"/>
      <c r="D42" s="143"/>
      <c r="E42" s="149"/>
      <c r="F42" s="143"/>
      <c r="G42" s="143"/>
      <c r="H42" s="150"/>
      <c r="I42" s="151"/>
      <c r="J42" s="44"/>
      <c r="K42" s="144"/>
      <c r="L42" s="152">
        <f>L39+L40</f>
        <v>377.30000000000007</v>
      </c>
      <c r="M42" s="153" t="s">
        <v>15</v>
      </c>
      <c r="N42" s="66"/>
      <c r="O42" s="148">
        <f>SUM(C38:K38)</f>
        <v>430.9</v>
      </c>
    </row>
    <row r="43" spans="1:63">
      <c r="A43" s="143"/>
      <c r="B43" s="143"/>
      <c r="C43" s="143"/>
      <c r="D43" s="143"/>
      <c r="E43" s="143"/>
      <c r="F43" s="143"/>
      <c r="G43" s="143"/>
      <c r="H43" s="149"/>
      <c r="I43" s="154"/>
      <c r="J43" s="149"/>
      <c r="K43" s="149"/>
      <c r="L43" s="155">
        <f>SUM(L29:L37)</f>
        <v>430.9</v>
      </c>
      <c r="M43" s="153">
        <f>M41/N41</f>
        <v>6.0391791044776104</v>
      </c>
      <c r="N43" s="66"/>
      <c r="O43" s="66"/>
    </row>
    <row r="44" spans="1:63">
      <c r="B44" s="165"/>
      <c r="C44" s="166"/>
      <c r="D44" s="167"/>
      <c r="E44" s="168"/>
      <c r="F44" s="169"/>
      <c r="G44" s="170"/>
      <c r="H44" s="158" t="s">
        <v>18</v>
      </c>
      <c r="I44" s="158"/>
      <c r="K44" s="158"/>
      <c r="L44" s="159">
        <f>L42/L29</f>
        <v>3.280869565217392</v>
      </c>
      <c r="M44" s="158" t="s">
        <v>19</v>
      </c>
      <c r="N44" s="159">
        <f>(L42-L29)/L29</f>
        <v>2.280869565217392</v>
      </c>
    </row>
    <row r="47" spans="1:63">
      <c r="B47" s="27" t="s">
        <v>48</v>
      </c>
      <c r="C47" s="28"/>
      <c r="D47" s="28"/>
      <c r="E47" s="28"/>
      <c r="G47" s="29" t="s">
        <v>1</v>
      </c>
      <c r="I47" s="30">
        <v>8</v>
      </c>
      <c r="J47" s="29" t="s">
        <v>2</v>
      </c>
      <c r="L47" s="30">
        <v>11</v>
      </c>
      <c r="M47" s="31">
        <f>L47/I47</f>
        <v>1.375</v>
      </c>
      <c r="N47" s="32"/>
      <c r="O47" s="33"/>
    </row>
    <row r="48" spans="1:63">
      <c r="B48" s="34" t="s">
        <v>3</v>
      </c>
      <c r="C48" s="34"/>
      <c r="D48" s="34"/>
      <c r="E48" s="35"/>
      <c r="F48" s="28"/>
      <c r="G48" s="28"/>
      <c r="H48" s="28"/>
      <c r="I48" s="28"/>
      <c r="J48" s="28"/>
      <c r="K48" s="28"/>
      <c r="L48" s="32"/>
      <c r="M48" s="32"/>
      <c r="N48" s="32"/>
      <c r="O48" s="33"/>
    </row>
    <row r="49" spans="1:63">
      <c r="B49" s="36" t="s">
        <v>4</v>
      </c>
      <c r="C49" s="37">
        <v>1</v>
      </c>
      <c r="D49" s="38">
        <v>2</v>
      </c>
      <c r="E49" s="39">
        <v>3</v>
      </c>
      <c r="F49" s="40">
        <v>4</v>
      </c>
      <c r="G49" s="41">
        <v>5</v>
      </c>
      <c r="H49" s="42">
        <v>6</v>
      </c>
      <c r="I49" s="43">
        <v>7</v>
      </c>
      <c r="J49" s="44">
        <v>8</v>
      </c>
      <c r="K49" s="45"/>
      <c r="L49" s="46"/>
      <c r="M49" s="46"/>
      <c r="O49" s="32"/>
    </row>
    <row r="50" spans="1:63">
      <c r="A50" s="47" t="s">
        <v>5</v>
      </c>
      <c r="C50" s="37" t="s">
        <v>6</v>
      </c>
      <c r="D50" s="48" t="s">
        <v>59</v>
      </c>
      <c r="E50" s="49" t="s">
        <v>58</v>
      </c>
      <c r="F50" s="40" t="s">
        <v>7</v>
      </c>
      <c r="G50" s="50" t="s">
        <v>8</v>
      </c>
      <c r="H50" s="51" t="s">
        <v>9</v>
      </c>
      <c r="I50" s="43" t="s">
        <v>60</v>
      </c>
      <c r="J50" s="52" t="s">
        <v>10</v>
      </c>
      <c r="K50" s="53"/>
      <c r="L50" s="160" t="s">
        <v>11</v>
      </c>
      <c r="M50" s="161" t="s">
        <v>12</v>
      </c>
      <c r="N50" s="161" t="s">
        <v>13</v>
      </c>
      <c r="O50" s="28"/>
    </row>
    <row r="51" spans="1:63">
      <c r="A51" s="37">
        <v>1</v>
      </c>
      <c r="B51" s="37" t="s">
        <v>6</v>
      </c>
      <c r="C51" s="56"/>
      <c r="D51" s="57">
        <v>111</v>
      </c>
      <c r="E51" s="58"/>
      <c r="F51" s="59"/>
      <c r="G51" s="60"/>
      <c r="H51" s="61"/>
      <c r="I51" s="62"/>
      <c r="J51" s="171"/>
      <c r="K51" s="53"/>
      <c r="L51" s="64">
        <f t="shared" ref="L51:L58" si="12">SUM(C51:K51)</f>
        <v>111</v>
      </c>
      <c r="M51" s="65">
        <f t="shared" ref="M51:M57" si="13">SUM(C51:I51)</f>
        <v>111</v>
      </c>
      <c r="N51" s="65">
        <f>SUM(J51:K51)</f>
        <v>0</v>
      </c>
      <c r="O51" s="66"/>
      <c r="Q51" s="67"/>
      <c r="R51" s="67"/>
      <c r="S51" s="67"/>
      <c r="T51" s="67"/>
      <c r="U51" s="67"/>
      <c r="V51" s="67"/>
      <c r="W51" s="67"/>
      <c r="Y51" s="67"/>
      <c r="Z51" s="67"/>
      <c r="AA51" s="67"/>
      <c r="AB51" s="67"/>
      <c r="AC51" s="67"/>
      <c r="AD51" s="67"/>
      <c r="AE51" s="67"/>
      <c r="AG51" s="68"/>
      <c r="AH51" s="68"/>
      <c r="AI51" s="68"/>
      <c r="AJ51" s="68"/>
      <c r="AK51" s="68"/>
      <c r="AL51" s="68"/>
      <c r="AM51" s="68"/>
      <c r="AO51" s="68"/>
      <c r="AP51" s="68"/>
      <c r="AQ51" s="68"/>
      <c r="AR51" s="68"/>
      <c r="AS51" s="68"/>
      <c r="AT51" s="68"/>
      <c r="AU51" s="68"/>
      <c r="AW51" s="68"/>
      <c r="AX51" s="68"/>
      <c r="AY51" s="68"/>
      <c r="AZ51" s="68"/>
      <c r="BA51" s="68"/>
      <c r="BB51" s="68"/>
      <c r="BC51" s="68"/>
      <c r="BE51" s="68"/>
      <c r="BF51" s="68"/>
      <c r="BG51" s="68"/>
      <c r="BH51" s="68"/>
      <c r="BI51" s="68"/>
      <c r="BJ51" s="68"/>
      <c r="BK51" s="68"/>
    </row>
    <row r="52" spans="1:63">
      <c r="A52" s="38">
        <v>2</v>
      </c>
      <c r="B52" s="38" t="s">
        <v>59</v>
      </c>
      <c r="C52" s="69"/>
      <c r="D52" s="70"/>
      <c r="E52" s="71">
        <v>65.5</v>
      </c>
      <c r="F52" s="72">
        <v>30.2</v>
      </c>
      <c r="G52" s="73">
        <v>15.3</v>
      </c>
      <c r="H52" s="74"/>
      <c r="I52" s="75"/>
      <c r="J52" s="171"/>
      <c r="K52" s="53"/>
      <c r="L52" s="77">
        <f t="shared" si="12"/>
        <v>111</v>
      </c>
      <c r="M52" s="78">
        <f t="shared" si="13"/>
        <v>111</v>
      </c>
      <c r="N52" s="78">
        <f>SUM(J52:K52)</f>
        <v>0</v>
      </c>
      <c r="O52" s="66"/>
      <c r="Q52" s="67"/>
      <c r="R52" s="67"/>
      <c r="S52" s="67"/>
      <c r="T52" s="67"/>
      <c r="U52" s="67"/>
      <c r="V52" s="67"/>
      <c r="W52" s="67"/>
      <c r="Y52" s="67"/>
      <c r="Z52" s="67"/>
      <c r="AA52" s="67"/>
      <c r="AB52" s="67"/>
      <c r="AC52" s="67"/>
      <c r="AD52" s="67"/>
      <c r="AE52" s="67"/>
      <c r="AG52" s="68"/>
      <c r="AH52" s="68"/>
      <c r="AI52" s="68"/>
      <c r="AJ52" s="68"/>
      <c r="AK52" s="68"/>
      <c r="AL52" s="68"/>
      <c r="AM52" s="68"/>
      <c r="AO52" s="68"/>
      <c r="AP52" s="68"/>
      <c r="AQ52" s="68"/>
      <c r="AR52" s="68"/>
      <c r="AS52" s="68"/>
      <c r="AT52" s="68"/>
      <c r="AU52" s="68"/>
      <c r="AW52" s="68"/>
      <c r="AX52" s="68"/>
      <c r="AY52" s="68"/>
      <c r="AZ52" s="68"/>
      <c r="BA52" s="68"/>
      <c r="BB52" s="68"/>
      <c r="BC52" s="68"/>
      <c r="BE52" s="68"/>
      <c r="BF52" s="68"/>
      <c r="BG52" s="68"/>
      <c r="BH52" s="68"/>
      <c r="BI52" s="68"/>
      <c r="BJ52" s="68"/>
      <c r="BK52" s="68"/>
    </row>
    <row r="53" spans="1:63">
      <c r="A53" s="39">
        <v>3</v>
      </c>
      <c r="B53" s="49" t="s">
        <v>58</v>
      </c>
      <c r="C53" s="69">
        <v>65.5</v>
      </c>
      <c r="D53" s="79"/>
      <c r="E53" s="80"/>
      <c r="F53" s="81"/>
      <c r="G53" s="82"/>
      <c r="H53" s="83"/>
      <c r="I53" s="84"/>
      <c r="J53" s="171"/>
      <c r="K53" s="53"/>
      <c r="L53" s="85">
        <f t="shared" si="12"/>
        <v>65.5</v>
      </c>
      <c r="M53" s="86">
        <f t="shared" si="13"/>
        <v>65.5</v>
      </c>
      <c r="N53" s="86">
        <f t="shared" ref="N53:N57" si="14">SUM(J53:K53)</f>
        <v>0</v>
      </c>
      <c r="O53" s="66"/>
      <c r="Q53" s="67"/>
      <c r="R53" s="67"/>
      <c r="S53" s="67"/>
      <c r="T53" s="67"/>
      <c r="U53" s="67"/>
      <c r="V53" s="67"/>
      <c r="W53" s="67"/>
      <c r="Y53" s="67"/>
      <c r="Z53" s="67"/>
      <c r="AA53" s="67"/>
      <c r="AB53" s="67"/>
      <c r="AC53" s="67"/>
      <c r="AD53" s="67"/>
      <c r="AE53" s="67"/>
      <c r="AG53" s="68"/>
      <c r="AH53" s="68"/>
      <c r="AI53" s="68"/>
      <c r="AJ53" s="68"/>
      <c r="AK53" s="68"/>
      <c r="AL53" s="68"/>
      <c r="AM53" s="68"/>
      <c r="AO53" s="68"/>
      <c r="AP53" s="68"/>
      <c r="AQ53" s="68"/>
      <c r="AR53" s="68"/>
      <c r="AS53" s="68"/>
      <c r="AT53" s="68"/>
      <c r="AU53" s="68"/>
      <c r="AW53" s="68"/>
      <c r="AX53" s="68"/>
      <c r="AY53" s="68"/>
      <c r="AZ53" s="68"/>
      <c r="BA53" s="68"/>
      <c r="BB53" s="68"/>
      <c r="BC53" s="68"/>
      <c r="BE53" s="68"/>
      <c r="BF53" s="68"/>
      <c r="BG53" s="68"/>
      <c r="BH53" s="68"/>
      <c r="BI53" s="68"/>
      <c r="BJ53" s="68"/>
      <c r="BK53" s="68"/>
    </row>
    <row r="54" spans="1:63">
      <c r="A54" s="40">
        <v>4</v>
      </c>
      <c r="B54" s="40" t="s">
        <v>7</v>
      </c>
      <c r="C54" s="87"/>
      <c r="D54" s="79"/>
      <c r="E54" s="71"/>
      <c r="F54" s="81"/>
      <c r="G54" s="73">
        <v>30.2</v>
      </c>
      <c r="H54" s="74"/>
      <c r="I54" s="84"/>
      <c r="J54" s="172"/>
      <c r="K54" s="53"/>
      <c r="L54" s="89">
        <f t="shared" si="12"/>
        <v>30.2</v>
      </c>
      <c r="M54" s="90">
        <f t="shared" si="13"/>
        <v>30.2</v>
      </c>
      <c r="N54" s="90">
        <f t="shared" si="14"/>
        <v>0</v>
      </c>
      <c r="O54" s="66"/>
      <c r="Q54" s="67"/>
      <c r="R54" s="67"/>
      <c r="S54" s="67"/>
      <c r="T54" s="67"/>
      <c r="U54" s="67"/>
      <c r="V54" s="67"/>
      <c r="W54" s="67"/>
      <c r="Y54" s="67"/>
      <c r="Z54" s="67"/>
      <c r="AA54" s="67"/>
      <c r="AB54" s="67"/>
      <c r="AC54" s="67"/>
      <c r="AD54" s="67"/>
      <c r="AE54" s="67"/>
      <c r="AG54" s="68"/>
      <c r="AH54" s="68"/>
      <c r="AI54" s="68"/>
      <c r="AJ54" s="68"/>
      <c r="AK54" s="68"/>
      <c r="AL54" s="68"/>
      <c r="AM54" s="68"/>
      <c r="AO54" s="68"/>
      <c r="AP54" s="68"/>
      <c r="AQ54" s="68"/>
      <c r="AR54" s="68"/>
      <c r="AS54" s="68"/>
      <c r="AT54" s="68"/>
      <c r="AU54" s="68"/>
      <c r="AW54" s="68"/>
      <c r="AX54" s="68"/>
      <c r="AY54" s="68"/>
      <c r="AZ54" s="68"/>
      <c r="BA54" s="68"/>
      <c r="BB54" s="68"/>
      <c r="BC54" s="68"/>
      <c r="BE54" s="68"/>
      <c r="BF54" s="68"/>
      <c r="BG54" s="68"/>
      <c r="BH54" s="68"/>
      <c r="BI54" s="68"/>
      <c r="BJ54" s="68"/>
      <c r="BK54" s="68"/>
    </row>
    <row r="55" spans="1:63">
      <c r="A55" s="41">
        <v>5</v>
      </c>
      <c r="B55" s="50" t="s">
        <v>8</v>
      </c>
      <c r="C55" s="69"/>
      <c r="D55" s="79"/>
      <c r="E55" s="71"/>
      <c r="F55" s="72"/>
      <c r="G55" s="82"/>
      <c r="H55" s="74"/>
      <c r="I55" s="75"/>
      <c r="J55" s="172">
        <v>45.5</v>
      </c>
      <c r="K55" s="53"/>
      <c r="L55" s="91">
        <f t="shared" si="12"/>
        <v>45.5</v>
      </c>
      <c r="M55" s="92">
        <f t="shared" si="13"/>
        <v>0</v>
      </c>
      <c r="N55" s="92">
        <f t="shared" si="14"/>
        <v>45.5</v>
      </c>
      <c r="O55" s="66"/>
      <c r="Q55" s="67"/>
      <c r="R55" s="67"/>
      <c r="S55" s="67"/>
      <c r="T55" s="67"/>
      <c r="U55" s="67"/>
      <c r="V55" s="67"/>
      <c r="W55" s="67"/>
      <c r="Y55" s="67"/>
      <c r="Z55" s="67"/>
      <c r="AA55" s="67"/>
      <c r="AB55" s="67"/>
      <c r="AC55" s="67"/>
      <c r="AD55" s="67"/>
      <c r="AE55" s="67"/>
      <c r="AG55" s="68"/>
      <c r="AH55" s="68"/>
      <c r="AI55" s="68"/>
      <c r="AJ55" s="68"/>
      <c r="AK55" s="68"/>
      <c r="AL55" s="68"/>
      <c r="AM55" s="68"/>
      <c r="AO55" s="68"/>
      <c r="AP55" s="68"/>
      <c r="AQ55" s="68"/>
      <c r="AR55" s="68"/>
      <c r="AS55" s="68"/>
      <c r="AT55" s="68"/>
      <c r="AU55" s="68"/>
      <c r="AW55" s="68"/>
      <c r="AX55" s="68"/>
      <c r="AY55" s="68"/>
      <c r="AZ55" s="68"/>
      <c r="BA55" s="68"/>
      <c r="BB55" s="68"/>
      <c r="BC55" s="68"/>
      <c r="BE55" s="68"/>
      <c r="BF55" s="68"/>
      <c r="BG55" s="68"/>
      <c r="BH55" s="68"/>
      <c r="BI55" s="68"/>
      <c r="BJ55" s="68"/>
      <c r="BK55" s="68"/>
    </row>
    <row r="56" spans="1:63">
      <c r="A56" s="42">
        <v>6</v>
      </c>
      <c r="B56" s="51" t="s">
        <v>9</v>
      </c>
      <c r="C56" s="69"/>
      <c r="D56" s="79"/>
      <c r="E56" s="80"/>
      <c r="F56" s="72"/>
      <c r="G56" s="73"/>
      <c r="H56" s="83"/>
      <c r="I56" s="84"/>
      <c r="J56" s="172"/>
      <c r="K56" s="53"/>
      <c r="L56" s="93">
        <f t="shared" si="12"/>
        <v>0</v>
      </c>
      <c r="M56" s="94">
        <f t="shared" si="13"/>
        <v>0</v>
      </c>
      <c r="N56" s="94">
        <f t="shared" si="14"/>
        <v>0</v>
      </c>
      <c r="O56" s="66"/>
      <c r="Q56" s="67"/>
      <c r="R56" s="67"/>
      <c r="S56" s="67"/>
      <c r="T56" s="67"/>
      <c r="U56" s="67"/>
      <c r="V56" s="67"/>
      <c r="W56" s="67"/>
      <c r="Y56" s="67"/>
      <c r="Z56" s="67"/>
      <c r="AA56" s="67"/>
      <c r="AB56" s="67"/>
      <c r="AC56" s="67"/>
      <c r="AD56" s="67"/>
      <c r="AE56" s="67"/>
      <c r="AG56" s="68"/>
      <c r="AH56" s="68"/>
      <c r="AI56" s="68"/>
      <c r="AJ56" s="68"/>
      <c r="AK56" s="68"/>
      <c r="AL56" s="68"/>
      <c r="AM56" s="68"/>
      <c r="AO56" s="68"/>
      <c r="AP56" s="68"/>
      <c r="AQ56" s="68"/>
      <c r="AR56" s="68"/>
      <c r="AS56" s="68"/>
      <c r="AT56" s="68"/>
      <c r="AU56" s="68"/>
      <c r="AW56" s="68"/>
      <c r="AX56" s="68"/>
      <c r="AY56" s="68"/>
      <c r="AZ56" s="68"/>
      <c r="BA56" s="68"/>
      <c r="BB56" s="68"/>
      <c r="BC56" s="68"/>
      <c r="BE56" s="68"/>
      <c r="BF56" s="68"/>
      <c r="BG56" s="68"/>
      <c r="BH56" s="68"/>
      <c r="BI56" s="68"/>
      <c r="BJ56" s="68"/>
      <c r="BK56" s="68"/>
    </row>
    <row r="57" spans="1:63">
      <c r="A57" s="43">
        <v>7</v>
      </c>
      <c r="B57" s="43" t="s">
        <v>60</v>
      </c>
      <c r="C57" s="95"/>
      <c r="D57" s="96"/>
      <c r="E57" s="97"/>
      <c r="F57" s="98"/>
      <c r="G57" s="99"/>
      <c r="H57" s="100"/>
      <c r="I57" s="101"/>
      <c r="J57" s="171"/>
      <c r="K57" s="53"/>
      <c r="L57" s="102">
        <f t="shared" si="12"/>
        <v>0</v>
      </c>
      <c r="M57" s="103">
        <f t="shared" si="13"/>
        <v>0</v>
      </c>
      <c r="N57" s="103">
        <f t="shared" si="14"/>
        <v>0</v>
      </c>
      <c r="O57" s="66"/>
      <c r="Q57" s="67"/>
      <c r="R57" s="67"/>
      <c r="S57" s="67"/>
      <c r="T57" s="67"/>
      <c r="U57" s="67"/>
      <c r="V57" s="67"/>
      <c r="W57" s="67"/>
      <c r="Y57" s="67"/>
      <c r="Z57" s="67"/>
      <c r="AA57" s="67"/>
      <c r="AB57" s="67"/>
      <c r="AC57" s="67"/>
      <c r="AD57" s="67"/>
      <c r="AE57" s="67"/>
      <c r="AG57" s="68"/>
      <c r="AH57" s="68"/>
      <c r="AI57" s="68"/>
      <c r="AJ57" s="68"/>
      <c r="AK57" s="68"/>
      <c r="AL57" s="68"/>
      <c r="AM57" s="68"/>
      <c r="AO57" s="68"/>
      <c r="AP57" s="68"/>
      <c r="AQ57" s="68"/>
      <c r="AR57" s="68"/>
      <c r="AS57" s="68"/>
      <c r="AT57" s="68"/>
      <c r="AU57" s="68"/>
      <c r="AW57" s="68"/>
      <c r="AX57" s="68"/>
      <c r="AY57" s="68"/>
      <c r="AZ57" s="68"/>
      <c r="BA57" s="68"/>
      <c r="BB57" s="68"/>
      <c r="BC57" s="68"/>
      <c r="BE57" s="68"/>
      <c r="BF57" s="68"/>
      <c r="BG57" s="68"/>
      <c r="BH57" s="68"/>
      <c r="BI57" s="68"/>
      <c r="BJ57" s="68"/>
      <c r="BK57" s="68"/>
    </row>
    <row r="58" spans="1:63">
      <c r="A58" s="44">
        <v>8</v>
      </c>
      <c r="B58" s="52" t="s">
        <v>10</v>
      </c>
      <c r="C58" s="173">
        <v>45.5</v>
      </c>
      <c r="D58" s="174"/>
      <c r="E58" s="175"/>
      <c r="F58" s="176"/>
      <c r="G58" s="177"/>
      <c r="H58" s="178"/>
      <c r="I58" s="179"/>
      <c r="J58" s="171"/>
      <c r="K58" s="53"/>
      <c r="L58" s="102">
        <f t="shared" si="12"/>
        <v>45.5</v>
      </c>
      <c r="M58" s="106"/>
      <c r="N58" s="66"/>
      <c r="O58" s="66"/>
    </row>
    <row r="59" spans="1:63">
      <c r="A59" s="45"/>
      <c r="B59" s="107"/>
      <c r="C59" s="107"/>
      <c r="D59" s="108"/>
      <c r="E59" s="109"/>
      <c r="F59" s="110"/>
      <c r="G59" s="111"/>
      <c r="H59" s="112"/>
      <c r="I59" s="112"/>
      <c r="J59" s="112"/>
      <c r="K59" s="53"/>
      <c r="L59" s="102"/>
      <c r="M59" s="113"/>
      <c r="N59" s="114"/>
      <c r="O59" s="115"/>
    </row>
    <row r="60" spans="1:63">
      <c r="B60" s="116" t="s">
        <v>14</v>
      </c>
      <c r="C60" s="117">
        <f t="shared" ref="C60:J60" si="15">SUM(C51:C59)</f>
        <v>111</v>
      </c>
      <c r="D60" s="118">
        <f t="shared" si="15"/>
        <v>111</v>
      </c>
      <c r="E60" s="119">
        <f t="shared" si="15"/>
        <v>65.5</v>
      </c>
      <c r="F60" s="120">
        <f t="shared" si="15"/>
        <v>30.2</v>
      </c>
      <c r="G60" s="121">
        <f t="shared" si="15"/>
        <v>45.5</v>
      </c>
      <c r="H60" s="122">
        <f t="shared" si="15"/>
        <v>0</v>
      </c>
      <c r="I60" s="123">
        <f t="shared" si="15"/>
        <v>0</v>
      </c>
      <c r="J60" s="124">
        <f t="shared" si="15"/>
        <v>45.5</v>
      </c>
      <c r="K60" s="125"/>
      <c r="L60" s="126">
        <f>SUM(C60:I60)</f>
        <v>363.2</v>
      </c>
      <c r="M60" s="127" t="s">
        <v>15</v>
      </c>
      <c r="N60" s="128"/>
    </row>
    <row r="61" spans="1:63">
      <c r="B61" s="129" t="s">
        <v>16</v>
      </c>
      <c r="C61" s="65">
        <f t="shared" ref="C61:I61" si="16">SUM(C51:C57)</f>
        <v>65.5</v>
      </c>
      <c r="D61" s="78">
        <f t="shared" si="16"/>
        <v>111</v>
      </c>
      <c r="E61" s="86">
        <f t="shared" si="16"/>
        <v>65.5</v>
      </c>
      <c r="F61" s="90">
        <f t="shared" si="16"/>
        <v>30.2</v>
      </c>
      <c r="G61" s="92">
        <f t="shared" si="16"/>
        <v>45.5</v>
      </c>
      <c r="H61" s="94">
        <f t="shared" si="16"/>
        <v>0</v>
      </c>
      <c r="I61" s="103">
        <f t="shared" si="16"/>
        <v>0</v>
      </c>
      <c r="K61" s="26"/>
      <c r="L61" s="130">
        <f>SUM(C61:I61)</f>
        <v>317.7</v>
      </c>
      <c r="M61" s="127">
        <f>L61/L62</f>
        <v>6.9824175824175825</v>
      </c>
      <c r="N61" s="66"/>
      <c r="O61" s="131"/>
    </row>
    <row r="62" spans="1:63">
      <c r="B62" s="132" t="s">
        <v>17</v>
      </c>
      <c r="C62" s="133">
        <f>C58+C59</f>
        <v>45.5</v>
      </c>
      <c r="D62" s="134">
        <f>D58+D59</f>
        <v>0</v>
      </c>
      <c r="E62" s="135">
        <f t="shared" ref="E62:H62" si="17">E58+E59</f>
        <v>0</v>
      </c>
      <c r="F62" s="136">
        <f t="shared" si="17"/>
        <v>0</v>
      </c>
      <c r="G62" s="137">
        <f t="shared" si="17"/>
        <v>0</v>
      </c>
      <c r="H62" s="138">
        <f t="shared" si="17"/>
        <v>0</v>
      </c>
      <c r="I62" s="139">
        <f>I58+I59</f>
        <v>0</v>
      </c>
      <c r="J62" s="140"/>
      <c r="K62" s="141"/>
      <c r="L62" s="130">
        <f>SUM(C62:I62)</f>
        <v>45.5</v>
      </c>
      <c r="M62" s="142"/>
      <c r="N62" s="66"/>
      <c r="O62" s="66"/>
    </row>
    <row r="63" spans="1:63">
      <c r="A63" s="143"/>
      <c r="B63" s="26"/>
      <c r="C63" s="142">
        <f>C60-L51</f>
        <v>0</v>
      </c>
      <c r="D63" s="142">
        <f>D60-L52</f>
        <v>0</v>
      </c>
      <c r="E63" s="142">
        <f>E60-L53</f>
        <v>0</v>
      </c>
      <c r="F63" s="142">
        <f>F60-L54</f>
        <v>0</v>
      </c>
      <c r="G63" s="142">
        <f>G60-L55</f>
        <v>0</v>
      </c>
      <c r="H63" s="142">
        <f>H60-L56</f>
        <v>0</v>
      </c>
      <c r="I63" s="142">
        <f>I60-L57</f>
        <v>0</v>
      </c>
      <c r="J63" s="44"/>
      <c r="K63" s="144"/>
      <c r="L63" s="145">
        <f>SUM(L51:L59)</f>
        <v>408.7</v>
      </c>
      <c r="M63" s="146">
        <f>SUM(M51:M57)</f>
        <v>317.7</v>
      </c>
      <c r="N63" s="147">
        <f>SUM(N51:N57)</f>
        <v>45.5</v>
      </c>
      <c r="O63" s="148">
        <f>M63+N63</f>
        <v>363.2</v>
      </c>
    </row>
    <row r="64" spans="1:63">
      <c r="A64" s="143"/>
      <c r="B64" s="143"/>
      <c r="C64" s="143"/>
      <c r="D64" s="143"/>
      <c r="E64" s="149"/>
      <c r="F64" s="143"/>
      <c r="G64" s="143"/>
      <c r="H64" s="150"/>
      <c r="I64" s="151"/>
      <c r="J64" s="44"/>
      <c r="K64" s="144"/>
      <c r="L64" s="152">
        <f>L61+L62</f>
        <v>363.2</v>
      </c>
      <c r="M64" s="153" t="s">
        <v>15</v>
      </c>
      <c r="N64" s="66"/>
      <c r="O64" s="148">
        <f>SUM(C60:K60)</f>
        <v>408.7</v>
      </c>
    </row>
    <row r="65" spans="1:63">
      <c r="A65" s="143"/>
      <c r="B65" s="143"/>
      <c r="C65" s="143"/>
      <c r="D65" s="143"/>
      <c r="E65" s="143"/>
      <c r="F65" s="143"/>
      <c r="G65" s="143"/>
      <c r="H65" s="149"/>
      <c r="I65" s="154"/>
      <c r="J65" s="149"/>
      <c r="K65" s="149"/>
      <c r="L65" s="155">
        <f>SUM(L51:L59)</f>
        <v>408.7</v>
      </c>
      <c r="M65" s="153">
        <f>M63/N63</f>
        <v>6.9824175824175825</v>
      </c>
      <c r="N65" s="66"/>
      <c r="O65" s="66"/>
    </row>
    <row r="66" spans="1:63">
      <c r="B66" s="180"/>
      <c r="C66" s="166"/>
      <c r="D66" s="167"/>
      <c r="E66" s="181"/>
      <c r="F66" s="169"/>
      <c r="G66" s="170"/>
      <c r="H66" s="158" t="s">
        <v>18</v>
      </c>
      <c r="I66" s="158"/>
      <c r="K66" s="158"/>
      <c r="L66" s="159">
        <f>L64/L51</f>
        <v>3.272072072072072</v>
      </c>
      <c r="M66" s="158" t="s">
        <v>19</v>
      </c>
      <c r="N66" s="159">
        <f>(L64-L51)/L51</f>
        <v>2.272072072072072</v>
      </c>
    </row>
    <row r="69" spans="1:63">
      <c r="B69" s="27" t="s">
        <v>49</v>
      </c>
      <c r="C69" s="28"/>
      <c r="D69" s="28"/>
      <c r="E69" s="28"/>
      <c r="G69" s="29" t="s">
        <v>1</v>
      </c>
      <c r="H69" s="29"/>
      <c r="I69" s="30">
        <v>6</v>
      </c>
      <c r="J69" s="29" t="s">
        <v>2</v>
      </c>
      <c r="K69" s="29"/>
      <c r="L69" s="30">
        <v>8</v>
      </c>
      <c r="M69" s="31">
        <f>L69/I69</f>
        <v>1.3333333333333333</v>
      </c>
    </row>
    <row r="70" spans="1:63">
      <c r="B70" s="34" t="s">
        <v>3</v>
      </c>
      <c r="C70" s="34"/>
      <c r="D70" s="34"/>
      <c r="E70" s="35"/>
      <c r="F70" s="28"/>
      <c r="G70" s="28"/>
      <c r="H70" s="28"/>
      <c r="I70" s="28"/>
      <c r="J70" s="28"/>
      <c r="K70" s="28"/>
      <c r="L70" s="32"/>
      <c r="M70" s="32"/>
    </row>
    <row r="71" spans="1:63">
      <c r="B71" s="36" t="s">
        <v>4</v>
      </c>
      <c r="C71" s="37">
        <v>1</v>
      </c>
      <c r="D71" s="38">
        <v>2</v>
      </c>
      <c r="E71" s="39">
        <v>3</v>
      </c>
      <c r="F71" s="40">
        <v>4</v>
      </c>
      <c r="G71" s="41">
        <v>5</v>
      </c>
      <c r="H71" s="42">
        <v>6</v>
      </c>
      <c r="I71" s="43">
        <v>7</v>
      </c>
      <c r="J71" s="44">
        <v>8</v>
      </c>
      <c r="K71" s="45"/>
      <c r="L71" s="46"/>
      <c r="M71" s="46"/>
    </row>
    <row r="72" spans="1:63">
      <c r="A72" s="47" t="s">
        <v>5</v>
      </c>
      <c r="C72" s="37" t="s">
        <v>6</v>
      </c>
      <c r="D72" s="48" t="s">
        <v>59</v>
      </c>
      <c r="E72" s="49" t="s">
        <v>58</v>
      </c>
      <c r="F72" s="40" t="s">
        <v>7</v>
      </c>
      <c r="G72" s="50" t="s">
        <v>8</v>
      </c>
      <c r="H72" s="51" t="s">
        <v>9</v>
      </c>
      <c r="I72" s="43" t="s">
        <v>60</v>
      </c>
      <c r="J72" s="52" t="s">
        <v>10</v>
      </c>
      <c r="K72" s="53"/>
      <c r="L72" s="160" t="s">
        <v>11</v>
      </c>
      <c r="M72" s="161" t="s">
        <v>12</v>
      </c>
      <c r="N72" s="25" t="s">
        <v>13</v>
      </c>
    </row>
    <row r="73" spans="1:63">
      <c r="A73" s="37">
        <v>1</v>
      </c>
      <c r="B73" s="37" t="s">
        <v>6</v>
      </c>
      <c r="C73" s="56"/>
      <c r="D73" s="57">
        <v>110</v>
      </c>
      <c r="E73" s="58"/>
      <c r="F73" s="59"/>
      <c r="G73" s="60"/>
      <c r="H73" s="61"/>
      <c r="I73" s="62"/>
      <c r="J73" s="171"/>
      <c r="K73" s="53"/>
      <c r="L73" s="64">
        <f t="shared" ref="L73:L80" si="18">SUM(C73:K73)</f>
        <v>110</v>
      </c>
      <c r="M73" s="65">
        <f t="shared" ref="M73:M79" si="19">SUM(C73:I73)</f>
        <v>110</v>
      </c>
      <c r="N73" s="25">
        <f>SUM(J73:K73)</f>
        <v>0</v>
      </c>
      <c r="AA73" s="67"/>
      <c r="AB73" s="67"/>
      <c r="AC73" s="67"/>
      <c r="AD73" s="67"/>
      <c r="AE73" s="67"/>
      <c r="AG73" s="68"/>
      <c r="AH73" s="68"/>
      <c r="AI73" s="68"/>
      <c r="AJ73" s="68"/>
      <c r="AK73" s="68"/>
      <c r="AL73" s="68"/>
      <c r="AM73" s="68"/>
      <c r="AO73" s="68"/>
      <c r="AP73" s="68"/>
      <c r="AQ73" s="68"/>
      <c r="AR73" s="68"/>
      <c r="AS73" s="68"/>
      <c r="AT73" s="68"/>
      <c r="AU73" s="68"/>
      <c r="AW73" s="68"/>
      <c r="AX73" s="68"/>
      <c r="AY73" s="68"/>
      <c r="AZ73" s="68"/>
      <c r="BA73" s="68"/>
      <c r="BB73" s="68"/>
      <c r="BC73" s="68"/>
      <c r="BE73" s="68"/>
      <c r="BF73" s="68"/>
      <c r="BG73" s="68"/>
      <c r="BH73" s="68"/>
      <c r="BI73" s="68"/>
      <c r="BJ73" s="68"/>
      <c r="BK73" s="68"/>
    </row>
    <row r="74" spans="1:63">
      <c r="A74" s="38">
        <v>2</v>
      </c>
      <c r="B74" s="38" t="s">
        <v>59</v>
      </c>
      <c r="C74" s="69"/>
      <c r="D74" s="70"/>
      <c r="E74" s="71">
        <v>65.2</v>
      </c>
      <c r="F74" s="72">
        <v>2.2000000000000002</v>
      </c>
      <c r="G74" s="73">
        <v>42.6</v>
      </c>
      <c r="H74" s="74"/>
      <c r="I74" s="75"/>
      <c r="J74" s="171"/>
      <c r="K74" s="53"/>
      <c r="L74" s="77">
        <f t="shared" si="18"/>
        <v>110</v>
      </c>
      <c r="M74" s="78">
        <f t="shared" si="19"/>
        <v>110</v>
      </c>
      <c r="N74" s="25">
        <f>SUM(J74:K74)</f>
        <v>0</v>
      </c>
      <c r="AA74" s="67"/>
      <c r="AB74" s="67"/>
      <c r="AC74" s="67"/>
      <c r="AD74" s="67"/>
      <c r="AE74" s="67"/>
      <c r="AG74" s="68"/>
      <c r="AH74" s="68"/>
      <c r="AI74" s="68"/>
      <c r="AJ74" s="68"/>
      <c r="AK74" s="68"/>
      <c r="AL74" s="68"/>
      <c r="AM74" s="68"/>
      <c r="AO74" s="68"/>
      <c r="AP74" s="68"/>
      <c r="AQ74" s="68"/>
      <c r="AR74" s="68"/>
      <c r="AS74" s="68"/>
      <c r="AT74" s="68"/>
      <c r="AU74" s="68"/>
      <c r="AW74" s="68"/>
      <c r="AX74" s="68"/>
      <c r="AY74" s="68"/>
      <c r="AZ74" s="68"/>
      <c r="BA74" s="68"/>
      <c r="BB74" s="68"/>
      <c r="BC74" s="68"/>
      <c r="BE74" s="68"/>
      <c r="BF74" s="68"/>
      <c r="BG74" s="68"/>
      <c r="BH74" s="68"/>
      <c r="BI74" s="68"/>
      <c r="BJ74" s="68"/>
      <c r="BK74" s="68"/>
    </row>
    <row r="75" spans="1:63">
      <c r="A75" s="39">
        <v>3</v>
      </c>
      <c r="B75" s="49" t="s">
        <v>58</v>
      </c>
      <c r="C75" s="69">
        <v>65.2</v>
      </c>
      <c r="D75" s="79"/>
      <c r="E75" s="80"/>
      <c r="F75" s="81"/>
      <c r="G75" s="82"/>
      <c r="H75" s="83"/>
      <c r="I75" s="84"/>
      <c r="J75" s="171"/>
      <c r="K75" s="53"/>
      <c r="L75" s="85">
        <f t="shared" si="18"/>
        <v>65.2</v>
      </c>
      <c r="M75" s="86">
        <f t="shared" si="19"/>
        <v>65.2</v>
      </c>
      <c r="N75" s="25">
        <f t="shared" ref="N75:N79" si="20">SUM(J75:K75)</f>
        <v>0</v>
      </c>
      <c r="AA75" s="67"/>
      <c r="AB75" s="67"/>
      <c r="AC75" s="67"/>
      <c r="AD75" s="67"/>
      <c r="AE75" s="67"/>
      <c r="AG75" s="68"/>
      <c r="AH75" s="68"/>
      <c r="AI75" s="68"/>
      <c r="AJ75" s="68"/>
      <c r="AK75" s="68"/>
      <c r="AL75" s="68"/>
      <c r="AM75" s="68"/>
      <c r="AO75" s="68"/>
      <c r="AP75" s="68"/>
      <c r="AQ75" s="68"/>
      <c r="AR75" s="68"/>
      <c r="AS75" s="68"/>
      <c r="AT75" s="68"/>
      <c r="AU75" s="68"/>
      <c r="AW75" s="68"/>
      <c r="AX75" s="68"/>
      <c r="AY75" s="68"/>
      <c r="AZ75" s="68"/>
      <c r="BA75" s="68"/>
      <c r="BB75" s="68"/>
      <c r="BC75" s="68"/>
      <c r="BE75" s="68"/>
      <c r="BF75" s="68"/>
      <c r="BG75" s="68"/>
      <c r="BH75" s="68"/>
      <c r="BI75" s="68"/>
      <c r="BJ75" s="68"/>
      <c r="BK75" s="68"/>
    </row>
    <row r="76" spans="1:63">
      <c r="A76" s="40">
        <v>4</v>
      </c>
      <c r="B76" s="40" t="s">
        <v>7</v>
      </c>
      <c r="C76" s="87"/>
      <c r="D76" s="79"/>
      <c r="E76" s="71"/>
      <c r="F76" s="81"/>
      <c r="G76" s="73"/>
      <c r="H76" s="74"/>
      <c r="I76" s="84"/>
      <c r="J76" s="172">
        <v>2.2000000000000002</v>
      </c>
      <c r="K76" s="53"/>
      <c r="L76" s="89">
        <f t="shared" si="18"/>
        <v>2.2000000000000002</v>
      </c>
      <c r="M76" s="90">
        <f t="shared" si="19"/>
        <v>0</v>
      </c>
      <c r="N76" s="25">
        <f t="shared" si="20"/>
        <v>2.2000000000000002</v>
      </c>
      <c r="AA76" s="67"/>
      <c r="AB76" s="67"/>
      <c r="AC76" s="67"/>
      <c r="AD76" s="67"/>
      <c r="AE76" s="67"/>
      <c r="AG76" s="68"/>
      <c r="AH76" s="68"/>
      <c r="AI76" s="68"/>
      <c r="AJ76" s="68"/>
      <c r="AK76" s="68"/>
      <c r="AL76" s="68"/>
      <c r="AM76" s="68"/>
      <c r="AO76" s="68"/>
      <c r="AP76" s="68"/>
      <c r="AQ76" s="68"/>
      <c r="AR76" s="68"/>
      <c r="AS76" s="68"/>
      <c r="AT76" s="68"/>
      <c r="AU76" s="68"/>
      <c r="AW76" s="68"/>
      <c r="AX76" s="68"/>
      <c r="AY76" s="68"/>
      <c r="AZ76" s="68"/>
      <c r="BA76" s="68"/>
      <c r="BB76" s="68"/>
      <c r="BC76" s="68"/>
      <c r="BE76" s="68"/>
      <c r="BF76" s="68"/>
      <c r="BG76" s="68"/>
      <c r="BH76" s="68"/>
      <c r="BI76" s="68"/>
      <c r="BJ76" s="68"/>
      <c r="BK76" s="68"/>
    </row>
    <row r="77" spans="1:63">
      <c r="A77" s="41">
        <v>5</v>
      </c>
      <c r="B77" s="50" t="s">
        <v>8</v>
      </c>
      <c r="C77" s="69"/>
      <c r="D77" s="79"/>
      <c r="E77" s="71"/>
      <c r="F77" s="72"/>
      <c r="G77" s="82"/>
      <c r="H77" s="74"/>
      <c r="I77" s="75"/>
      <c r="J77" s="172">
        <v>42.6</v>
      </c>
      <c r="K77" s="53"/>
      <c r="L77" s="91">
        <f t="shared" si="18"/>
        <v>42.6</v>
      </c>
      <c r="M77" s="92">
        <f t="shared" si="19"/>
        <v>0</v>
      </c>
      <c r="N77" s="25">
        <f t="shared" si="20"/>
        <v>42.6</v>
      </c>
      <c r="AA77" s="67"/>
      <c r="AB77" s="67"/>
      <c r="AC77" s="67"/>
      <c r="AD77" s="67"/>
      <c r="AE77" s="67"/>
      <c r="AG77" s="68"/>
      <c r="AH77" s="68"/>
      <c r="AI77" s="68"/>
      <c r="AJ77" s="68"/>
      <c r="AK77" s="68"/>
      <c r="AL77" s="68"/>
      <c r="AM77" s="68"/>
      <c r="AO77" s="68"/>
      <c r="AP77" s="68"/>
      <c r="AQ77" s="68"/>
      <c r="AR77" s="68"/>
      <c r="AS77" s="68"/>
      <c r="AT77" s="68"/>
      <c r="AU77" s="68"/>
      <c r="AW77" s="68"/>
      <c r="AX77" s="68"/>
      <c r="AY77" s="68"/>
      <c r="AZ77" s="68"/>
      <c r="BA77" s="68"/>
      <c r="BB77" s="68"/>
      <c r="BC77" s="68"/>
      <c r="BE77" s="68"/>
      <c r="BF77" s="68"/>
      <c r="BG77" s="68"/>
      <c r="BH77" s="68"/>
      <c r="BI77" s="68"/>
      <c r="BJ77" s="68"/>
      <c r="BK77" s="68"/>
    </row>
    <row r="78" spans="1:63">
      <c r="A78" s="42">
        <v>6</v>
      </c>
      <c r="B78" s="51" t="s">
        <v>9</v>
      </c>
      <c r="C78" s="69"/>
      <c r="D78" s="79"/>
      <c r="E78" s="80"/>
      <c r="F78" s="72"/>
      <c r="G78" s="73"/>
      <c r="H78" s="83"/>
      <c r="I78" s="84"/>
      <c r="J78" s="172"/>
      <c r="K78" s="53"/>
      <c r="L78" s="93">
        <f t="shared" si="18"/>
        <v>0</v>
      </c>
      <c r="M78" s="94">
        <f t="shared" si="19"/>
        <v>0</v>
      </c>
      <c r="N78" s="25">
        <f t="shared" si="20"/>
        <v>0</v>
      </c>
      <c r="AA78" s="67"/>
      <c r="AB78" s="67"/>
      <c r="AC78" s="67"/>
      <c r="AD78" s="67"/>
      <c r="AE78" s="67"/>
      <c r="AG78" s="68"/>
      <c r="AH78" s="68"/>
      <c r="AI78" s="68"/>
      <c r="AJ78" s="68"/>
      <c r="AK78" s="68"/>
      <c r="AL78" s="68"/>
      <c r="AM78" s="68"/>
      <c r="AO78" s="68"/>
      <c r="AP78" s="68"/>
      <c r="AQ78" s="68"/>
      <c r="AR78" s="68"/>
      <c r="AS78" s="68"/>
      <c r="AT78" s="68"/>
      <c r="AU78" s="68"/>
      <c r="AW78" s="68"/>
      <c r="AX78" s="68"/>
      <c r="AY78" s="68"/>
      <c r="AZ78" s="68"/>
      <c r="BA78" s="68"/>
      <c r="BB78" s="68"/>
      <c r="BC78" s="68"/>
      <c r="BE78" s="68"/>
      <c r="BF78" s="68"/>
      <c r="BG78" s="68"/>
      <c r="BH78" s="68"/>
      <c r="BI78" s="68"/>
      <c r="BJ78" s="68"/>
      <c r="BK78" s="68"/>
    </row>
    <row r="79" spans="1:63">
      <c r="A79" s="43">
        <v>7</v>
      </c>
      <c r="B79" s="43" t="s">
        <v>60</v>
      </c>
      <c r="C79" s="95"/>
      <c r="D79" s="96"/>
      <c r="E79" s="97"/>
      <c r="F79" s="98"/>
      <c r="G79" s="99"/>
      <c r="H79" s="100"/>
      <c r="I79" s="101"/>
      <c r="J79" s="171"/>
      <c r="K79" s="53"/>
      <c r="L79" s="102">
        <f t="shared" si="18"/>
        <v>0</v>
      </c>
      <c r="M79" s="103">
        <f t="shared" si="19"/>
        <v>0</v>
      </c>
      <c r="N79" s="25">
        <f t="shared" si="20"/>
        <v>0</v>
      </c>
      <c r="AA79" s="67"/>
      <c r="AB79" s="67"/>
      <c r="AC79" s="67"/>
      <c r="AD79" s="67"/>
      <c r="AE79" s="67"/>
      <c r="AG79" s="68"/>
      <c r="AH79" s="68"/>
      <c r="AI79" s="68"/>
      <c r="AJ79" s="68"/>
      <c r="AK79" s="68"/>
      <c r="AL79" s="68"/>
      <c r="AM79" s="68"/>
      <c r="AO79" s="68"/>
      <c r="AP79" s="68"/>
      <c r="AQ79" s="68"/>
      <c r="AR79" s="68"/>
      <c r="AS79" s="68"/>
      <c r="AT79" s="68"/>
      <c r="AU79" s="68"/>
      <c r="AW79" s="68"/>
      <c r="AX79" s="68"/>
      <c r="AY79" s="68"/>
      <c r="AZ79" s="68"/>
      <c r="BA79" s="68"/>
      <c r="BB79" s="68"/>
      <c r="BC79" s="68"/>
      <c r="BE79" s="68"/>
      <c r="BF79" s="68"/>
      <c r="BG79" s="68"/>
      <c r="BH79" s="68"/>
      <c r="BI79" s="68"/>
      <c r="BJ79" s="68"/>
      <c r="BK79" s="68"/>
    </row>
    <row r="80" spans="1:63">
      <c r="A80" s="44">
        <v>8</v>
      </c>
      <c r="B80" s="52" t="s">
        <v>10</v>
      </c>
      <c r="C80" s="173">
        <f>SUM(J76:J78)</f>
        <v>44.800000000000004</v>
      </c>
      <c r="D80" s="174"/>
      <c r="E80" s="175"/>
      <c r="F80" s="176"/>
      <c r="G80" s="177"/>
      <c r="H80" s="178"/>
      <c r="I80" s="179"/>
      <c r="J80" s="171"/>
      <c r="K80" s="53"/>
      <c r="L80" s="102">
        <f t="shared" si="18"/>
        <v>44.800000000000004</v>
      </c>
      <c r="M80" s="106"/>
    </row>
    <row r="81" spans="1:63">
      <c r="A81" s="45"/>
      <c r="B81" s="107"/>
      <c r="C81" s="107"/>
      <c r="D81" s="108"/>
      <c r="E81" s="109"/>
      <c r="F81" s="110"/>
      <c r="G81" s="111"/>
      <c r="H81" s="112"/>
      <c r="I81" s="112"/>
      <c r="J81" s="112"/>
      <c r="K81" s="53"/>
      <c r="L81" s="102"/>
      <c r="M81" s="113"/>
    </row>
    <row r="82" spans="1:63">
      <c r="B82" s="116" t="s">
        <v>14</v>
      </c>
      <c r="C82" s="117">
        <f t="shared" ref="C82:J82" si="21">SUM(C73:C81)</f>
        <v>110</v>
      </c>
      <c r="D82" s="118">
        <f t="shared" si="21"/>
        <v>110</v>
      </c>
      <c r="E82" s="119">
        <f t="shared" si="21"/>
        <v>65.2</v>
      </c>
      <c r="F82" s="120">
        <f t="shared" si="21"/>
        <v>2.2000000000000002</v>
      </c>
      <c r="G82" s="121">
        <f t="shared" si="21"/>
        <v>42.6</v>
      </c>
      <c r="H82" s="122">
        <f t="shared" si="21"/>
        <v>0</v>
      </c>
      <c r="I82" s="123">
        <f>SUM(I73:I81)</f>
        <v>0</v>
      </c>
      <c r="J82" s="124">
        <f t="shared" si="21"/>
        <v>44.800000000000004</v>
      </c>
      <c r="K82" s="125"/>
      <c r="L82" s="126">
        <f>SUM(C82:I82)</f>
        <v>330</v>
      </c>
      <c r="M82" s="127" t="s">
        <v>15</v>
      </c>
    </row>
    <row r="83" spans="1:63">
      <c r="B83" s="129" t="s">
        <v>16</v>
      </c>
      <c r="C83" s="65">
        <f t="shared" ref="C83:I83" si="22">SUM(C73:C79)</f>
        <v>65.2</v>
      </c>
      <c r="D83" s="78">
        <f t="shared" si="22"/>
        <v>110</v>
      </c>
      <c r="E83" s="86">
        <f t="shared" si="22"/>
        <v>65.2</v>
      </c>
      <c r="F83" s="90">
        <f t="shared" si="22"/>
        <v>2.2000000000000002</v>
      </c>
      <c r="G83" s="92">
        <f t="shared" si="22"/>
        <v>42.6</v>
      </c>
      <c r="H83" s="94">
        <f t="shared" si="22"/>
        <v>0</v>
      </c>
      <c r="I83" s="103">
        <f t="shared" si="22"/>
        <v>0</v>
      </c>
      <c r="K83" s="26"/>
      <c r="L83" s="130">
        <f>SUM(C83:I83)</f>
        <v>285.2</v>
      </c>
      <c r="M83" s="127">
        <f>L83/L84</f>
        <v>6.3660714285714279</v>
      </c>
    </row>
    <row r="84" spans="1:63">
      <c r="B84" s="132" t="s">
        <v>17</v>
      </c>
      <c r="C84" s="133">
        <f>C80+C81</f>
        <v>44.800000000000004</v>
      </c>
      <c r="D84" s="134">
        <f>D80+D81</f>
        <v>0</v>
      </c>
      <c r="E84" s="135">
        <f t="shared" ref="E84:H84" si="23">E80+E81</f>
        <v>0</v>
      </c>
      <c r="F84" s="136">
        <f t="shared" si="23"/>
        <v>0</v>
      </c>
      <c r="G84" s="137">
        <f t="shared" si="23"/>
        <v>0</v>
      </c>
      <c r="H84" s="138">
        <f t="shared" si="23"/>
        <v>0</v>
      </c>
      <c r="I84" s="139">
        <f>I80+I81</f>
        <v>0</v>
      </c>
      <c r="J84" s="140"/>
      <c r="K84" s="141"/>
      <c r="L84" s="130">
        <f>SUM(C84:I84)</f>
        <v>44.800000000000004</v>
      </c>
      <c r="M84" s="142"/>
    </row>
    <row r="85" spans="1:63">
      <c r="A85" s="143"/>
      <c r="B85" s="26"/>
      <c r="C85" s="142">
        <f>C82-L73</f>
        <v>0</v>
      </c>
      <c r="D85" s="142">
        <f>D82-L74</f>
        <v>0</v>
      </c>
      <c r="E85" s="142">
        <f>E82-L75</f>
        <v>0</v>
      </c>
      <c r="F85" s="142">
        <f>F82-L76</f>
        <v>0</v>
      </c>
      <c r="G85" s="142">
        <f>G82-L77</f>
        <v>0</v>
      </c>
      <c r="H85" s="142">
        <f>H82-L78</f>
        <v>0</v>
      </c>
      <c r="I85" s="142">
        <f>I82-L79</f>
        <v>0</v>
      </c>
      <c r="J85" s="44"/>
      <c r="K85" s="144"/>
      <c r="L85" s="145">
        <f>SUM(L73:L81)</f>
        <v>374.8</v>
      </c>
      <c r="M85" s="146">
        <f>SUM(M73:M79)</f>
        <v>285.2</v>
      </c>
      <c r="N85" s="25">
        <f>SUM(N73:N79)</f>
        <v>44.800000000000004</v>
      </c>
      <c r="O85" s="25">
        <f>M85+N85</f>
        <v>330</v>
      </c>
    </row>
    <row r="86" spans="1:63">
      <c r="A86" s="143"/>
      <c r="B86" s="143"/>
      <c r="C86" s="143"/>
      <c r="D86" s="143"/>
      <c r="E86" s="149"/>
      <c r="F86" s="143"/>
      <c r="G86" s="143"/>
      <c r="H86" s="150"/>
      <c r="I86" s="151"/>
      <c r="J86" s="44"/>
      <c r="K86" s="144"/>
      <c r="L86" s="152">
        <f>L83+L84</f>
        <v>330</v>
      </c>
      <c r="M86" s="153" t="s">
        <v>15</v>
      </c>
      <c r="O86" s="25">
        <f>SUM(C82:K82)</f>
        <v>374.8</v>
      </c>
    </row>
    <row r="87" spans="1:63">
      <c r="A87" s="143"/>
      <c r="B87" s="143"/>
      <c r="C87" s="143"/>
      <c r="D87" s="143"/>
      <c r="E87" s="143"/>
      <c r="F87" s="143"/>
      <c r="G87" s="143"/>
      <c r="H87" s="149"/>
      <c r="I87" s="154"/>
      <c r="J87" s="149"/>
      <c r="K87" s="149"/>
      <c r="L87" s="155">
        <f>SUM(L73:L81)</f>
        <v>374.8</v>
      </c>
      <c r="M87" s="153">
        <f>M85/N85</f>
        <v>6.3660714285714279</v>
      </c>
    </row>
    <row r="88" spans="1:63">
      <c r="H88" s="158" t="s">
        <v>18</v>
      </c>
      <c r="I88" s="158"/>
      <c r="K88" s="158"/>
      <c r="L88" s="159">
        <f>L86/L73</f>
        <v>3</v>
      </c>
      <c r="M88" s="158" t="s">
        <v>19</v>
      </c>
      <c r="N88" s="25">
        <f>(L86-L73)/L73</f>
        <v>2</v>
      </c>
    </row>
    <row r="91" spans="1:63">
      <c r="B91" s="27" t="s">
        <v>50</v>
      </c>
      <c r="C91" s="28"/>
      <c r="D91" s="28"/>
      <c r="E91" s="28"/>
      <c r="G91" s="29" t="s">
        <v>1</v>
      </c>
      <c r="H91" s="29"/>
      <c r="I91" s="30">
        <v>5</v>
      </c>
      <c r="J91" s="29" t="s">
        <v>2</v>
      </c>
      <c r="K91" s="29"/>
      <c r="L91" s="30">
        <v>6</v>
      </c>
      <c r="M91" s="31">
        <f>L91/I91</f>
        <v>1.2</v>
      </c>
      <c r="N91" s="32"/>
      <c r="O91" s="33"/>
    </row>
    <row r="92" spans="1:63">
      <c r="B92" s="34" t="s">
        <v>3</v>
      </c>
      <c r="C92" s="34"/>
      <c r="D92" s="34"/>
      <c r="E92" s="35"/>
      <c r="F92" s="28"/>
      <c r="G92" s="28"/>
      <c r="H92" s="28"/>
      <c r="I92" s="28"/>
      <c r="J92" s="28"/>
      <c r="K92" s="28"/>
      <c r="L92" s="32"/>
      <c r="M92" s="32"/>
      <c r="N92" s="32"/>
      <c r="O92" s="33"/>
    </row>
    <row r="93" spans="1:63">
      <c r="B93" s="36" t="s">
        <v>4</v>
      </c>
      <c r="C93" s="37">
        <v>1</v>
      </c>
      <c r="D93" s="38">
        <v>2</v>
      </c>
      <c r="E93" s="39">
        <v>3</v>
      </c>
      <c r="F93" s="40">
        <v>4</v>
      </c>
      <c r="G93" s="41">
        <v>5</v>
      </c>
      <c r="H93" s="42">
        <v>6</v>
      </c>
      <c r="I93" s="43">
        <v>7</v>
      </c>
      <c r="J93" s="44">
        <v>8</v>
      </c>
      <c r="K93" s="45"/>
      <c r="L93" s="46"/>
      <c r="M93" s="46"/>
      <c r="O93" s="32"/>
    </row>
    <row r="94" spans="1:63">
      <c r="A94" s="47" t="s">
        <v>5</v>
      </c>
      <c r="C94" s="37" t="s">
        <v>6</v>
      </c>
      <c r="D94" s="48" t="s">
        <v>59</v>
      </c>
      <c r="E94" s="49" t="s">
        <v>58</v>
      </c>
      <c r="F94" s="40" t="s">
        <v>7</v>
      </c>
      <c r="G94" s="50" t="s">
        <v>8</v>
      </c>
      <c r="H94" s="51" t="s">
        <v>9</v>
      </c>
      <c r="I94" s="43" t="s">
        <v>60</v>
      </c>
      <c r="J94" s="52" t="s">
        <v>10</v>
      </c>
      <c r="K94" s="53"/>
      <c r="L94" s="160" t="s">
        <v>11</v>
      </c>
      <c r="M94" s="161" t="s">
        <v>12</v>
      </c>
      <c r="N94" s="161" t="s">
        <v>13</v>
      </c>
      <c r="O94" s="28"/>
    </row>
    <row r="95" spans="1:63">
      <c r="A95" s="37">
        <v>1</v>
      </c>
      <c r="B95" s="37" t="s">
        <v>6</v>
      </c>
      <c r="C95" s="56"/>
      <c r="D95" s="57">
        <v>113</v>
      </c>
      <c r="E95" s="58"/>
      <c r="F95" s="59"/>
      <c r="G95" s="60"/>
      <c r="H95" s="61"/>
      <c r="I95" s="62"/>
      <c r="J95" s="171"/>
      <c r="K95" s="53"/>
      <c r="L95" s="64">
        <f t="shared" ref="L95:L102" si="24">SUM(C95:K95)</f>
        <v>113</v>
      </c>
      <c r="M95" s="65">
        <f t="shared" ref="M95:M101" si="25">SUM(C95:I95)</f>
        <v>113</v>
      </c>
      <c r="N95" s="65">
        <f>SUM(J95:K95)</f>
        <v>0</v>
      </c>
      <c r="O95" s="66"/>
      <c r="Q95" s="67"/>
      <c r="R95" s="67"/>
      <c r="S95" s="67"/>
      <c r="T95" s="67"/>
      <c r="U95" s="67"/>
      <c r="V95" s="67"/>
      <c r="W95" s="67"/>
      <c r="Y95" s="67"/>
      <c r="Z95" s="67"/>
      <c r="AA95" s="67"/>
      <c r="AB95" s="67"/>
      <c r="AC95" s="67"/>
      <c r="AD95" s="67"/>
      <c r="AE95" s="67"/>
      <c r="AG95" s="68"/>
      <c r="AH95" s="68"/>
      <c r="AI95" s="68"/>
      <c r="AJ95" s="68"/>
      <c r="AK95" s="68"/>
      <c r="AL95" s="68"/>
      <c r="AM95" s="68"/>
      <c r="AO95" s="68"/>
      <c r="AP95" s="68"/>
      <c r="AQ95" s="68"/>
      <c r="AR95" s="68"/>
      <c r="AS95" s="68"/>
      <c r="AT95" s="68"/>
      <c r="AU95" s="68"/>
      <c r="AW95" s="68"/>
      <c r="AX95" s="68"/>
      <c r="AY95" s="68"/>
      <c r="AZ95" s="68"/>
      <c r="BA95" s="68"/>
      <c r="BB95" s="68"/>
      <c r="BC95" s="68"/>
      <c r="BE95" s="68"/>
      <c r="BF95" s="68"/>
      <c r="BG95" s="68"/>
      <c r="BH95" s="68"/>
      <c r="BI95" s="68"/>
      <c r="BJ95" s="68"/>
      <c r="BK95" s="68"/>
    </row>
    <row r="96" spans="1:63">
      <c r="A96" s="38">
        <v>2</v>
      </c>
      <c r="B96" s="38" t="s">
        <v>59</v>
      </c>
      <c r="C96" s="69"/>
      <c r="D96" s="70"/>
      <c r="E96" s="71">
        <v>73</v>
      </c>
      <c r="F96" s="72"/>
      <c r="G96" s="73">
        <v>40</v>
      </c>
      <c r="H96" s="74"/>
      <c r="I96" s="75"/>
      <c r="J96" s="171"/>
      <c r="K96" s="53"/>
      <c r="L96" s="77">
        <f t="shared" si="24"/>
        <v>113</v>
      </c>
      <c r="M96" s="78">
        <f t="shared" si="25"/>
        <v>113</v>
      </c>
      <c r="N96" s="78">
        <f>SUM(J96:K96)</f>
        <v>0</v>
      </c>
      <c r="O96" s="66"/>
      <c r="Q96" s="67"/>
      <c r="R96" s="67"/>
      <c r="S96" s="67"/>
      <c r="T96" s="67"/>
      <c r="U96" s="67"/>
      <c r="V96" s="67"/>
      <c r="W96" s="67"/>
      <c r="Y96" s="67"/>
      <c r="Z96" s="67"/>
      <c r="AA96" s="67"/>
      <c r="AB96" s="67"/>
      <c r="AC96" s="67"/>
      <c r="AD96" s="67"/>
      <c r="AE96" s="67"/>
      <c r="AG96" s="68"/>
      <c r="AH96" s="68"/>
      <c r="AI96" s="68"/>
      <c r="AJ96" s="68"/>
      <c r="AK96" s="68"/>
      <c r="AL96" s="68"/>
      <c r="AM96" s="68"/>
      <c r="AO96" s="68"/>
      <c r="AP96" s="68"/>
      <c r="AQ96" s="68"/>
      <c r="AR96" s="68"/>
      <c r="AS96" s="68"/>
      <c r="AT96" s="68"/>
      <c r="AU96" s="68"/>
      <c r="AW96" s="68"/>
      <c r="AX96" s="68"/>
      <c r="AY96" s="68"/>
      <c r="AZ96" s="68"/>
      <c r="BA96" s="68"/>
      <c r="BB96" s="68"/>
      <c r="BC96" s="68"/>
      <c r="BE96" s="68"/>
      <c r="BF96" s="68"/>
      <c r="BG96" s="68"/>
      <c r="BH96" s="68"/>
      <c r="BI96" s="68"/>
      <c r="BJ96" s="68"/>
      <c r="BK96" s="68"/>
    </row>
    <row r="97" spans="1:63">
      <c r="A97" s="39">
        <v>3</v>
      </c>
      <c r="B97" s="49" t="s">
        <v>58</v>
      </c>
      <c r="C97" s="69">
        <v>73</v>
      </c>
      <c r="D97" s="79"/>
      <c r="E97" s="80"/>
      <c r="F97" s="81"/>
      <c r="G97" s="82"/>
      <c r="H97" s="83"/>
      <c r="I97" s="84"/>
      <c r="J97" s="171"/>
      <c r="K97" s="53"/>
      <c r="L97" s="85">
        <f t="shared" si="24"/>
        <v>73</v>
      </c>
      <c r="M97" s="86">
        <f t="shared" si="25"/>
        <v>73</v>
      </c>
      <c r="N97" s="86">
        <f t="shared" ref="N97:N101" si="26">SUM(J97:K97)</f>
        <v>0</v>
      </c>
      <c r="O97" s="66"/>
      <c r="Q97" s="67"/>
      <c r="R97" s="67"/>
      <c r="S97" s="67"/>
      <c r="T97" s="67"/>
      <c r="U97" s="67"/>
      <c r="V97" s="67"/>
      <c r="W97" s="67"/>
      <c r="Y97" s="67"/>
      <c r="Z97" s="67"/>
      <c r="AA97" s="67"/>
      <c r="AB97" s="67"/>
      <c r="AC97" s="67"/>
      <c r="AD97" s="67"/>
      <c r="AE97" s="67"/>
      <c r="AG97" s="68"/>
      <c r="AH97" s="68"/>
      <c r="AI97" s="68"/>
      <c r="AJ97" s="68"/>
      <c r="AK97" s="68"/>
      <c r="AL97" s="68"/>
      <c r="AM97" s="68"/>
      <c r="AO97" s="68"/>
      <c r="AP97" s="68"/>
      <c r="AQ97" s="68"/>
      <c r="AR97" s="68"/>
      <c r="AS97" s="68"/>
      <c r="AT97" s="68"/>
      <c r="AU97" s="68"/>
      <c r="AW97" s="68"/>
      <c r="AX97" s="68"/>
      <c r="AY97" s="68"/>
      <c r="AZ97" s="68"/>
      <c r="BA97" s="68"/>
      <c r="BB97" s="68"/>
      <c r="BC97" s="68"/>
      <c r="BE97" s="68"/>
      <c r="BF97" s="68"/>
      <c r="BG97" s="68"/>
      <c r="BH97" s="68"/>
      <c r="BI97" s="68"/>
      <c r="BJ97" s="68"/>
      <c r="BK97" s="68"/>
    </row>
    <row r="98" spans="1:63">
      <c r="A98" s="40">
        <v>4</v>
      </c>
      <c r="B98" s="40" t="s">
        <v>7</v>
      </c>
      <c r="C98" s="87"/>
      <c r="D98" s="79"/>
      <c r="E98" s="71"/>
      <c r="F98" s="81"/>
      <c r="G98" s="73"/>
      <c r="H98" s="74"/>
      <c r="I98" s="84"/>
      <c r="J98" s="172"/>
      <c r="K98" s="53"/>
      <c r="L98" s="89">
        <f t="shared" si="24"/>
        <v>0</v>
      </c>
      <c r="M98" s="90">
        <f t="shared" si="25"/>
        <v>0</v>
      </c>
      <c r="N98" s="90">
        <f t="shared" si="26"/>
        <v>0</v>
      </c>
      <c r="O98" s="66"/>
      <c r="Q98" s="67"/>
      <c r="R98" s="67"/>
      <c r="S98" s="67"/>
      <c r="T98" s="67"/>
      <c r="U98" s="67"/>
      <c r="V98" s="67"/>
      <c r="W98" s="67"/>
      <c r="Y98" s="67"/>
      <c r="Z98" s="67"/>
      <c r="AA98" s="67"/>
      <c r="AB98" s="67"/>
      <c r="AC98" s="67"/>
      <c r="AD98" s="67"/>
      <c r="AE98" s="67"/>
      <c r="AG98" s="68"/>
      <c r="AH98" s="68"/>
      <c r="AI98" s="68"/>
      <c r="AJ98" s="68"/>
      <c r="AK98" s="68"/>
      <c r="AL98" s="68"/>
      <c r="AM98" s="68"/>
      <c r="AO98" s="68"/>
      <c r="AP98" s="68"/>
      <c r="AQ98" s="68"/>
      <c r="AR98" s="68"/>
      <c r="AS98" s="68"/>
      <c r="AT98" s="68"/>
      <c r="AU98" s="68"/>
      <c r="AW98" s="68"/>
      <c r="AX98" s="68"/>
      <c r="AY98" s="68"/>
      <c r="AZ98" s="68"/>
      <c r="BA98" s="68"/>
      <c r="BB98" s="68"/>
      <c r="BC98" s="68"/>
      <c r="BE98" s="68"/>
      <c r="BF98" s="68"/>
      <c r="BG98" s="68"/>
      <c r="BH98" s="68"/>
      <c r="BI98" s="68"/>
      <c r="BJ98" s="68"/>
      <c r="BK98" s="68"/>
    </row>
    <row r="99" spans="1:63">
      <c r="A99" s="41">
        <v>5</v>
      </c>
      <c r="B99" s="50" t="s">
        <v>8</v>
      </c>
      <c r="C99" s="69"/>
      <c r="D99" s="79"/>
      <c r="E99" s="71"/>
      <c r="F99" s="72"/>
      <c r="G99" s="82"/>
      <c r="H99" s="74"/>
      <c r="I99" s="75"/>
      <c r="J99" s="172">
        <v>40</v>
      </c>
      <c r="K99" s="53"/>
      <c r="L99" s="91">
        <f t="shared" si="24"/>
        <v>40</v>
      </c>
      <c r="M99" s="92">
        <f t="shared" si="25"/>
        <v>0</v>
      </c>
      <c r="N99" s="92">
        <f t="shared" si="26"/>
        <v>40</v>
      </c>
      <c r="O99" s="66"/>
      <c r="Q99" s="67"/>
      <c r="R99" s="67"/>
      <c r="S99" s="67"/>
      <c r="T99" s="67"/>
      <c r="U99" s="67"/>
      <c r="V99" s="67"/>
      <c r="W99" s="67"/>
      <c r="Y99" s="67"/>
      <c r="Z99" s="67"/>
      <c r="AA99" s="67"/>
      <c r="AB99" s="67"/>
      <c r="AC99" s="67"/>
      <c r="AD99" s="67"/>
      <c r="AE99" s="67"/>
      <c r="AG99" s="68"/>
      <c r="AH99" s="68"/>
      <c r="AI99" s="68"/>
      <c r="AJ99" s="68"/>
      <c r="AK99" s="68"/>
      <c r="AL99" s="68"/>
      <c r="AM99" s="68"/>
      <c r="AO99" s="68"/>
      <c r="AP99" s="68"/>
      <c r="AQ99" s="68"/>
      <c r="AR99" s="68"/>
      <c r="AS99" s="68"/>
      <c r="AT99" s="68"/>
      <c r="AU99" s="68"/>
      <c r="AW99" s="68"/>
      <c r="AX99" s="68"/>
      <c r="AY99" s="68"/>
      <c r="AZ99" s="68"/>
      <c r="BA99" s="68"/>
      <c r="BB99" s="68"/>
      <c r="BC99" s="68"/>
      <c r="BE99" s="68"/>
      <c r="BF99" s="68"/>
      <c r="BG99" s="68"/>
      <c r="BH99" s="68"/>
      <c r="BI99" s="68"/>
      <c r="BJ99" s="68"/>
      <c r="BK99" s="68"/>
    </row>
    <row r="100" spans="1:63">
      <c r="A100" s="42">
        <v>6</v>
      </c>
      <c r="B100" s="51" t="s">
        <v>9</v>
      </c>
      <c r="C100" s="69"/>
      <c r="D100" s="79"/>
      <c r="E100" s="80"/>
      <c r="F100" s="72"/>
      <c r="G100" s="73"/>
      <c r="H100" s="83"/>
      <c r="I100" s="84"/>
      <c r="J100" s="172"/>
      <c r="K100" s="53"/>
      <c r="L100" s="93">
        <f t="shared" si="24"/>
        <v>0</v>
      </c>
      <c r="M100" s="94">
        <f t="shared" si="25"/>
        <v>0</v>
      </c>
      <c r="N100" s="94">
        <f t="shared" si="26"/>
        <v>0</v>
      </c>
      <c r="O100" s="66"/>
      <c r="Q100" s="67"/>
      <c r="R100" s="67"/>
      <c r="S100" s="67"/>
      <c r="T100" s="67"/>
      <c r="U100" s="67"/>
      <c r="V100" s="67"/>
      <c r="W100" s="67"/>
      <c r="Y100" s="67"/>
      <c r="Z100" s="67"/>
      <c r="AA100" s="67"/>
      <c r="AB100" s="67"/>
      <c r="AC100" s="67"/>
      <c r="AD100" s="67"/>
      <c r="AE100" s="67"/>
      <c r="AG100" s="68"/>
      <c r="AH100" s="68"/>
      <c r="AI100" s="68"/>
      <c r="AJ100" s="68"/>
      <c r="AK100" s="68"/>
      <c r="AL100" s="68"/>
      <c r="AM100" s="68"/>
      <c r="AO100" s="68"/>
      <c r="AP100" s="68"/>
      <c r="AQ100" s="68"/>
      <c r="AR100" s="68"/>
      <c r="AS100" s="68"/>
      <c r="AT100" s="68"/>
      <c r="AU100" s="68"/>
      <c r="AW100" s="68"/>
      <c r="AX100" s="68"/>
      <c r="AY100" s="68"/>
      <c r="AZ100" s="68"/>
      <c r="BA100" s="68"/>
      <c r="BB100" s="68"/>
      <c r="BC100" s="68"/>
      <c r="BE100" s="68"/>
      <c r="BF100" s="68"/>
      <c r="BG100" s="68"/>
      <c r="BH100" s="68"/>
      <c r="BI100" s="68"/>
      <c r="BJ100" s="68"/>
      <c r="BK100" s="68"/>
    </row>
    <row r="101" spans="1:63">
      <c r="A101" s="43">
        <v>7</v>
      </c>
      <c r="B101" s="43" t="s">
        <v>60</v>
      </c>
      <c r="C101" s="95"/>
      <c r="D101" s="96"/>
      <c r="E101" s="97"/>
      <c r="F101" s="98"/>
      <c r="G101" s="99"/>
      <c r="H101" s="100"/>
      <c r="I101" s="101"/>
      <c r="J101" s="171"/>
      <c r="K101" s="53"/>
      <c r="L101" s="102">
        <f t="shared" si="24"/>
        <v>0</v>
      </c>
      <c r="M101" s="103">
        <f t="shared" si="25"/>
        <v>0</v>
      </c>
      <c r="N101" s="103">
        <f t="shared" si="26"/>
        <v>0</v>
      </c>
      <c r="O101" s="66"/>
      <c r="Q101" s="67"/>
      <c r="R101" s="67"/>
      <c r="S101" s="67"/>
      <c r="T101" s="67"/>
      <c r="U101" s="67"/>
      <c r="V101" s="67"/>
      <c r="W101" s="67"/>
      <c r="Y101" s="67"/>
      <c r="Z101" s="67"/>
      <c r="AA101" s="67"/>
      <c r="AB101" s="67"/>
      <c r="AC101" s="67"/>
      <c r="AD101" s="67"/>
      <c r="AE101" s="67"/>
      <c r="AG101" s="68"/>
      <c r="AH101" s="68"/>
      <c r="AI101" s="68"/>
      <c r="AJ101" s="68"/>
      <c r="AK101" s="68"/>
      <c r="AL101" s="68"/>
      <c r="AM101" s="68"/>
      <c r="AO101" s="68"/>
      <c r="AP101" s="68"/>
      <c r="AQ101" s="68"/>
      <c r="AR101" s="68"/>
      <c r="AS101" s="68"/>
      <c r="AT101" s="68"/>
      <c r="AU101" s="68"/>
      <c r="AW101" s="68"/>
      <c r="AX101" s="68"/>
      <c r="AY101" s="68"/>
      <c r="AZ101" s="68"/>
      <c r="BA101" s="68"/>
      <c r="BB101" s="68"/>
      <c r="BC101" s="68"/>
      <c r="BE101" s="68"/>
      <c r="BF101" s="68"/>
      <c r="BG101" s="68"/>
      <c r="BH101" s="68"/>
      <c r="BI101" s="68"/>
      <c r="BJ101" s="68"/>
      <c r="BK101" s="68"/>
    </row>
    <row r="102" spans="1:63">
      <c r="A102" s="44">
        <v>8</v>
      </c>
      <c r="B102" s="52" t="s">
        <v>10</v>
      </c>
      <c r="C102" s="173">
        <f>SUM(J98:J100)</f>
        <v>40</v>
      </c>
      <c r="D102" s="174"/>
      <c r="E102" s="175"/>
      <c r="F102" s="176"/>
      <c r="G102" s="177"/>
      <c r="H102" s="178"/>
      <c r="I102" s="179"/>
      <c r="J102" s="171"/>
      <c r="K102" s="53"/>
      <c r="L102" s="102">
        <f t="shared" si="24"/>
        <v>40</v>
      </c>
      <c r="M102" s="106"/>
      <c r="N102" s="66"/>
      <c r="O102" s="66"/>
    </row>
    <row r="103" spans="1:63">
      <c r="A103" s="45"/>
      <c r="B103" s="107"/>
      <c r="C103" s="107"/>
      <c r="D103" s="108"/>
      <c r="E103" s="109"/>
      <c r="F103" s="110"/>
      <c r="G103" s="111"/>
      <c r="H103" s="112"/>
      <c r="I103" s="112"/>
      <c r="J103" s="112"/>
      <c r="K103" s="53"/>
      <c r="L103" s="102"/>
      <c r="M103" s="113"/>
      <c r="N103" s="114"/>
      <c r="O103" s="115"/>
    </row>
    <row r="104" spans="1:63">
      <c r="B104" s="116" t="s">
        <v>14</v>
      </c>
      <c r="C104" s="117">
        <f t="shared" ref="C104" si="27">SUM(C95:C103)</f>
        <v>113</v>
      </c>
      <c r="D104" s="118">
        <f t="shared" ref="D104:H104" si="28">SUM(D95:D103)</f>
        <v>113</v>
      </c>
      <c r="E104" s="119">
        <f t="shared" si="28"/>
        <v>73</v>
      </c>
      <c r="F104" s="120">
        <f t="shared" si="28"/>
        <v>0</v>
      </c>
      <c r="G104" s="121">
        <f t="shared" si="28"/>
        <v>40</v>
      </c>
      <c r="H104" s="122">
        <f t="shared" si="28"/>
        <v>0</v>
      </c>
      <c r="I104" s="123">
        <f>SUM(I95:I103)</f>
        <v>0</v>
      </c>
      <c r="J104" s="124">
        <f t="shared" ref="J104" si="29">SUM(J95:J103)</f>
        <v>40</v>
      </c>
      <c r="K104" s="125"/>
      <c r="L104" s="126">
        <f>SUM(C104:I104)</f>
        <v>339</v>
      </c>
      <c r="M104" s="127" t="s">
        <v>15</v>
      </c>
      <c r="N104" s="128"/>
    </row>
    <row r="105" spans="1:63">
      <c r="B105" s="129" t="s">
        <v>16</v>
      </c>
      <c r="C105" s="65">
        <f t="shared" ref="C105:I105" si="30">SUM(C95:C101)</f>
        <v>73</v>
      </c>
      <c r="D105" s="78">
        <f t="shared" si="30"/>
        <v>113</v>
      </c>
      <c r="E105" s="86">
        <f t="shared" si="30"/>
        <v>73</v>
      </c>
      <c r="F105" s="90">
        <f t="shared" si="30"/>
        <v>0</v>
      </c>
      <c r="G105" s="92">
        <f t="shared" si="30"/>
        <v>40</v>
      </c>
      <c r="H105" s="94">
        <f t="shared" si="30"/>
        <v>0</v>
      </c>
      <c r="I105" s="103">
        <f t="shared" si="30"/>
        <v>0</v>
      </c>
      <c r="K105" s="26"/>
      <c r="L105" s="130">
        <f>SUM(C105:I105)</f>
        <v>299</v>
      </c>
      <c r="M105" s="127">
        <f>L105/L106</f>
        <v>7.4749999999999996</v>
      </c>
      <c r="N105" s="66"/>
      <c r="O105" s="131"/>
    </row>
    <row r="106" spans="1:63">
      <c r="B106" s="132" t="s">
        <v>17</v>
      </c>
      <c r="C106" s="133">
        <f>C102+C103</f>
        <v>40</v>
      </c>
      <c r="D106" s="134">
        <f>D102+D103</f>
        <v>0</v>
      </c>
      <c r="E106" s="135">
        <f t="shared" ref="E106:H106" si="31">E102+E103</f>
        <v>0</v>
      </c>
      <c r="F106" s="136">
        <f t="shared" si="31"/>
        <v>0</v>
      </c>
      <c r="G106" s="137">
        <f t="shared" si="31"/>
        <v>0</v>
      </c>
      <c r="H106" s="138">
        <f t="shared" si="31"/>
        <v>0</v>
      </c>
      <c r="I106" s="139">
        <f>I102+I103</f>
        <v>0</v>
      </c>
      <c r="J106" s="140"/>
      <c r="K106" s="141"/>
      <c r="L106" s="130">
        <f>SUM(C106:I106)</f>
        <v>40</v>
      </c>
      <c r="M106" s="142"/>
      <c r="N106" s="66"/>
      <c r="O106" s="66"/>
    </row>
    <row r="107" spans="1:63">
      <c r="A107" s="143"/>
      <c r="B107" s="26"/>
      <c r="C107" s="142">
        <f>C104-L95</f>
        <v>0</v>
      </c>
      <c r="D107" s="142">
        <f>D104-L96</f>
        <v>0</v>
      </c>
      <c r="E107" s="142">
        <f>E104-L97</f>
        <v>0</v>
      </c>
      <c r="F107" s="142">
        <f>F104-L98</f>
        <v>0</v>
      </c>
      <c r="G107" s="142">
        <f>G104-L99</f>
        <v>0</v>
      </c>
      <c r="H107" s="142">
        <f>H104-L100</f>
        <v>0</v>
      </c>
      <c r="I107" s="142">
        <f>I104-L101</f>
        <v>0</v>
      </c>
      <c r="J107" s="44"/>
      <c r="K107" s="144"/>
      <c r="L107" s="145">
        <f>SUM(L95:L103)</f>
        <v>379</v>
      </c>
      <c r="M107" s="146">
        <f>SUM(M95:M101)</f>
        <v>299</v>
      </c>
      <c r="N107" s="147">
        <f>SUM(N95:N101)</f>
        <v>40</v>
      </c>
      <c r="O107" s="148">
        <f>M107+N107</f>
        <v>339</v>
      </c>
    </row>
    <row r="108" spans="1:63">
      <c r="A108" s="143"/>
      <c r="B108" s="143"/>
      <c r="C108" s="143"/>
      <c r="D108" s="143"/>
      <c r="E108" s="149"/>
      <c r="F108" s="143"/>
      <c r="G108" s="143"/>
      <c r="H108" s="150"/>
      <c r="I108" s="151"/>
      <c r="J108" s="44"/>
      <c r="K108" s="144"/>
      <c r="L108" s="152">
        <f>L105+L106</f>
        <v>339</v>
      </c>
      <c r="M108" s="153" t="s">
        <v>15</v>
      </c>
      <c r="N108" s="66"/>
      <c r="O108" s="148">
        <f>SUM(C104:K104)</f>
        <v>379</v>
      </c>
    </row>
    <row r="109" spans="1:63">
      <c r="A109" s="143"/>
      <c r="B109" s="143"/>
      <c r="C109" s="143"/>
      <c r="D109" s="143"/>
      <c r="E109" s="143"/>
      <c r="F109" s="143"/>
      <c r="G109" s="143"/>
      <c r="H109" s="149"/>
      <c r="I109" s="154"/>
      <c r="J109" s="149"/>
      <c r="K109" s="149"/>
      <c r="L109" s="155">
        <f>SUM(L95:L103)</f>
        <v>379</v>
      </c>
      <c r="M109" s="153">
        <f>M107/N107</f>
        <v>7.4749999999999996</v>
      </c>
      <c r="N109" s="66"/>
      <c r="O109" s="66"/>
    </row>
    <row r="110" spans="1:63">
      <c r="B110" s="182"/>
      <c r="C110" s="166"/>
      <c r="D110" s="167"/>
      <c r="E110" s="168"/>
      <c r="F110" s="169"/>
      <c r="G110" s="170"/>
      <c r="H110" s="158" t="s">
        <v>18</v>
      </c>
      <c r="I110" s="158"/>
      <c r="K110" s="158"/>
      <c r="L110" s="159">
        <f>L108/L95</f>
        <v>3</v>
      </c>
      <c r="M110" s="158" t="s">
        <v>19</v>
      </c>
      <c r="N110" s="159">
        <f>(L108-L95)/L95</f>
        <v>2</v>
      </c>
    </row>
    <row r="113" spans="1:63">
      <c r="A113" s="183" t="s">
        <v>20</v>
      </c>
      <c r="B113" s="27" t="s">
        <v>51</v>
      </c>
      <c r="C113" s="28"/>
      <c r="D113" s="28"/>
      <c r="E113" s="28"/>
      <c r="G113" s="29" t="s">
        <v>1</v>
      </c>
      <c r="H113" s="29"/>
      <c r="I113" s="30">
        <v>6</v>
      </c>
      <c r="J113" s="29" t="s">
        <v>2</v>
      </c>
      <c r="K113" s="29"/>
      <c r="L113" s="30">
        <v>8</v>
      </c>
      <c r="M113" s="31">
        <f>L113/I113</f>
        <v>1.3333333333333333</v>
      </c>
      <c r="N113" s="32"/>
      <c r="O113" s="184" t="s">
        <v>61</v>
      </c>
    </row>
    <row r="114" spans="1:63">
      <c r="B114" s="34" t="s">
        <v>3</v>
      </c>
      <c r="C114" s="34"/>
      <c r="D114" s="34"/>
      <c r="E114" s="35"/>
      <c r="F114" s="28"/>
      <c r="G114" s="28"/>
      <c r="H114" s="28"/>
      <c r="I114" s="29" t="s">
        <v>21</v>
      </c>
      <c r="J114" s="28"/>
      <c r="K114" s="28"/>
      <c r="L114" s="32"/>
      <c r="M114" s="32"/>
      <c r="N114" s="32"/>
      <c r="O114" s="33"/>
    </row>
    <row r="115" spans="1:63">
      <c r="B115" s="36" t="s">
        <v>4</v>
      </c>
      <c r="C115" s="37">
        <v>1</v>
      </c>
      <c r="D115" s="38">
        <v>2</v>
      </c>
      <c r="E115" s="39">
        <v>3</v>
      </c>
      <c r="F115" s="40">
        <v>4</v>
      </c>
      <c r="G115" s="41">
        <v>5</v>
      </c>
      <c r="H115" s="42">
        <v>6</v>
      </c>
      <c r="I115" s="43">
        <v>7</v>
      </c>
      <c r="J115" s="44">
        <v>8</v>
      </c>
      <c r="K115" s="45"/>
      <c r="L115" s="46"/>
      <c r="M115" s="46"/>
      <c r="O115" s="32"/>
    </row>
    <row r="116" spans="1:63">
      <c r="A116" s="47" t="s">
        <v>5</v>
      </c>
      <c r="C116" s="37" t="s">
        <v>6</v>
      </c>
      <c r="D116" s="48" t="s">
        <v>59</v>
      </c>
      <c r="E116" s="49" t="s">
        <v>58</v>
      </c>
      <c r="F116" s="40" t="s">
        <v>7</v>
      </c>
      <c r="G116" s="50" t="s">
        <v>8</v>
      </c>
      <c r="H116" s="51" t="s">
        <v>9</v>
      </c>
      <c r="I116" s="43" t="s">
        <v>60</v>
      </c>
      <c r="J116" s="52" t="s">
        <v>10</v>
      </c>
      <c r="K116" s="53"/>
      <c r="L116" s="160" t="s">
        <v>11</v>
      </c>
      <c r="M116" s="161" t="s">
        <v>12</v>
      </c>
      <c r="N116" s="161" t="s">
        <v>13</v>
      </c>
      <c r="O116" s="28"/>
    </row>
    <row r="117" spans="1:63">
      <c r="A117" s="37">
        <v>1</v>
      </c>
      <c r="B117" s="37" t="s">
        <v>6</v>
      </c>
      <c r="C117" s="56"/>
      <c r="D117" s="57">
        <v>114.1</v>
      </c>
      <c r="E117" s="58"/>
      <c r="F117" s="59"/>
      <c r="G117" s="60"/>
      <c r="H117" s="61"/>
      <c r="I117" s="62"/>
      <c r="J117" s="171"/>
      <c r="K117" s="53"/>
      <c r="L117" s="64">
        <f t="shared" ref="L117:L124" si="32">SUM(C117:K117)</f>
        <v>114.1</v>
      </c>
      <c r="M117" s="65">
        <f t="shared" ref="M117:M123" si="33">SUM(C117:I117)</f>
        <v>114.1</v>
      </c>
      <c r="N117" s="65">
        <f>SUM(J117:K117)</f>
        <v>0</v>
      </c>
      <c r="O117" s="66"/>
      <c r="Q117" s="67"/>
      <c r="R117" s="67"/>
      <c r="S117" s="67"/>
      <c r="T117" s="67"/>
      <c r="U117" s="67"/>
      <c r="V117" s="67"/>
      <c r="W117" s="67"/>
      <c r="Y117" s="67"/>
      <c r="Z117" s="67"/>
      <c r="AA117" s="67"/>
      <c r="AB117" s="67"/>
      <c r="AC117" s="67"/>
      <c r="AD117" s="67"/>
      <c r="AE117" s="67"/>
      <c r="AG117" s="68"/>
      <c r="AH117" s="68"/>
      <c r="AI117" s="68"/>
      <c r="AJ117" s="68"/>
      <c r="AK117" s="68"/>
      <c r="AL117" s="68"/>
      <c r="AM117" s="68"/>
      <c r="AO117" s="68"/>
      <c r="AP117" s="68"/>
      <c r="AQ117" s="68"/>
      <c r="AR117" s="68"/>
      <c r="AS117" s="68"/>
      <c r="AT117" s="68"/>
      <c r="AU117" s="68"/>
      <c r="AW117" s="68"/>
      <c r="AX117" s="68"/>
      <c r="AY117" s="68"/>
      <c r="AZ117" s="68"/>
      <c r="BA117" s="68"/>
      <c r="BB117" s="68"/>
      <c r="BC117" s="68"/>
      <c r="BE117" s="68"/>
      <c r="BF117" s="68"/>
      <c r="BG117" s="68"/>
      <c r="BH117" s="68"/>
      <c r="BI117" s="68"/>
      <c r="BJ117" s="68"/>
      <c r="BK117" s="68"/>
    </row>
    <row r="118" spans="1:63">
      <c r="A118" s="38">
        <v>2</v>
      </c>
      <c r="B118" s="38" t="s">
        <v>59</v>
      </c>
      <c r="C118" s="69"/>
      <c r="D118" s="70"/>
      <c r="E118" s="71">
        <v>70.7</v>
      </c>
      <c r="F118" s="72">
        <f>0.583*(D117-E118)</f>
        <v>25.302199999999992</v>
      </c>
      <c r="G118" s="73">
        <f>D117-E118-F118</f>
        <v>18.097799999999999</v>
      </c>
      <c r="H118" s="74"/>
      <c r="I118" s="75"/>
      <c r="J118" s="171"/>
      <c r="K118" s="53"/>
      <c r="L118" s="77">
        <f t="shared" si="32"/>
        <v>114.1</v>
      </c>
      <c r="M118" s="78">
        <f t="shared" si="33"/>
        <v>114.1</v>
      </c>
      <c r="N118" s="78">
        <f>SUM(J118:K118)</f>
        <v>0</v>
      </c>
      <c r="O118" s="66"/>
      <c r="P118" s="185"/>
      <c r="Q118" s="67"/>
      <c r="R118" s="67"/>
      <c r="S118" s="67"/>
      <c r="T118" s="67"/>
      <c r="U118" s="67"/>
      <c r="V118" s="67"/>
      <c r="W118" s="67"/>
      <c r="Y118" s="67"/>
      <c r="Z118" s="67"/>
      <c r="AA118" s="67"/>
      <c r="AB118" s="67"/>
      <c r="AC118" s="67"/>
      <c r="AD118" s="67"/>
      <c r="AE118" s="67"/>
      <c r="AG118" s="68"/>
      <c r="AH118" s="68"/>
      <c r="AI118" s="68"/>
      <c r="AJ118" s="68"/>
      <c r="AK118" s="68"/>
      <c r="AL118" s="68"/>
      <c r="AM118" s="68"/>
      <c r="AO118" s="68"/>
      <c r="AP118" s="68"/>
      <c r="AQ118" s="68"/>
      <c r="AR118" s="68"/>
      <c r="AS118" s="68"/>
      <c r="AT118" s="68"/>
      <c r="AU118" s="68"/>
      <c r="AW118" s="68"/>
      <c r="AX118" s="68"/>
      <c r="AY118" s="68"/>
      <c r="AZ118" s="68"/>
      <c r="BA118" s="68"/>
      <c r="BB118" s="68"/>
      <c r="BC118" s="68"/>
      <c r="BE118" s="68"/>
      <c r="BF118" s="68"/>
      <c r="BG118" s="68"/>
      <c r="BH118" s="68"/>
      <c r="BI118" s="68"/>
      <c r="BJ118" s="68"/>
      <c r="BK118" s="68"/>
    </row>
    <row r="119" spans="1:63">
      <c r="A119" s="39">
        <v>3</v>
      </c>
      <c r="B119" s="49" t="s">
        <v>58</v>
      </c>
      <c r="C119" s="69">
        <v>70.7</v>
      </c>
      <c r="D119" s="79"/>
      <c r="E119" s="80"/>
      <c r="F119" s="81"/>
      <c r="G119" s="82"/>
      <c r="H119" s="83"/>
      <c r="I119" s="84"/>
      <c r="J119" s="171"/>
      <c r="K119" s="53"/>
      <c r="L119" s="85">
        <f t="shared" si="32"/>
        <v>70.7</v>
      </c>
      <c r="M119" s="86">
        <f t="shared" si="33"/>
        <v>70.7</v>
      </c>
      <c r="N119" s="86">
        <f t="shared" ref="N119:N123" si="34">SUM(J119:K119)</f>
        <v>0</v>
      </c>
      <c r="O119" s="66"/>
      <c r="Q119" s="67"/>
      <c r="R119" s="67"/>
      <c r="S119" s="67"/>
      <c r="T119" s="67"/>
      <c r="U119" s="67"/>
      <c r="V119" s="67"/>
      <c r="W119" s="67"/>
      <c r="Y119" s="67"/>
      <c r="Z119" s="67"/>
      <c r="AA119" s="67"/>
      <c r="AB119" s="67"/>
      <c r="AC119" s="67"/>
      <c r="AD119" s="67"/>
      <c r="AE119" s="67"/>
      <c r="AG119" s="68"/>
      <c r="AH119" s="68"/>
      <c r="AI119" s="68"/>
      <c r="AJ119" s="68"/>
      <c r="AK119" s="68"/>
      <c r="AL119" s="68"/>
      <c r="AM119" s="68"/>
      <c r="AO119" s="68"/>
      <c r="AP119" s="68"/>
      <c r="AQ119" s="68"/>
      <c r="AR119" s="68"/>
      <c r="AS119" s="68"/>
      <c r="AT119" s="68"/>
      <c r="AU119" s="68"/>
      <c r="AW119" s="68"/>
      <c r="AX119" s="68"/>
      <c r="AY119" s="68"/>
      <c r="AZ119" s="68"/>
      <c r="BA119" s="68"/>
      <c r="BB119" s="68"/>
      <c r="BC119" s="68"/>
      <c r="BE119" s="68"/>
      <c r="BF119" s="68"/>
      <c r="BG119" s="68"/>
      <c r="BH119" s="68"/>
      <c r="BI119" s="68"/>
      <c r="BJ119" s="68"/>
      <c r="BK119" s="68"/>
    </row>
    <row r="120" spans="1:63">
      <c r="A120" s="40">
        <v>4</v>
      </c>
      <c r="B120" s="40" t="s">
        <v>7</v>
      </c>
      <c r="C120" s="87"/>
      <c r="D120" s="79"/>
      <c r="E120" s="71"/>
      <c r="F120" s="81"/>
      <c r="G120" s="73">
        <f>F118</f>
        <v>25.302199999999992</v>
      </c>
      <c r="H120" s="74"/>
      <c r="I120" s="84"/>
      <c r="J120" s="172"/>
      <c r="K120" s="53"/>
      <c r="L120" s="89">
        <f t="shared" si="32"/>
        <v>25.302199999999992</v>
      </c>
      <c r="M120" s="90">
        <f t="shared" si="33"/>
        <v>25.302199999999992</v>
      </c>
      <c r="N120" s="90">
        <f t="shared" si="34"/>
        <v>0</v>
      </c>
      <c r="O120" s="66"/>
      <c r="Q120" s="67"/>
      <c r="R120" s="67"/>
      <c r="S120" s="67"/>
      <c r="T120" s="67"/>
      <c r="U120" s="67"/>
      <c r="V120" s="67"/>
      <c r="W120" s="67"/>
      <c r="Y120" s="67"/>
      <c r="Z120" s="67"/>
      <c r="AA120" s="67"/>
      <c r="AB120" s="67"/>
      <c r="AC120" s="67"/>
      <c r="AD120" s="67"/>
      <c r="AE120" s="67"/>
      <c r="AG120" s="68"/>
      <c r="AH120" s="68"/>
      <c r="AI120" s="68"/>
      <c r="AJ120" s="68"/>
      <c r="AK120" s="68"/>
      <c r="AL120" s="68"/>
      <c r="AM120" s="68"/>
      <c r="AO120" s="68"/>
      <c r="AP120" s="68"/>
      <c r="AQ120" s="68"/>
      <c r="AR120" s="68"/>
      <c r="AS120" s="68"/>
      <c r="AT120" s="68"/>
      <c r="AU120" s="68"/>
      <c r="AW120" s="68"/>
      <c r="AX120" s="68"/>
      <c r="AY120" s="68"/>
      <c r="AZ120" s="68"/>
      <c r="BA120" s="68"/>
      <c r="BB120" s="68"/>
      <c r="BC120" s="68"/>
      <c r="BE120" s="68"/>
      <c r="BF120" s="68"/>
      <c r="BG120" s="68"/>
      <c r="BH120" s="68"/>
      <c r="BI120" s="68"/>
      <c r="BJ120" s="68"/>
      <c r="BK120" s="68"/>
    </row>
    <row r="121" spans="1:63">
      <c r="A121" s="41">
        <v>5</v>
      </c>
      <c r="B121" s="50" t="s">
        <v>8</v>
      </c>
      <c r="C121" s="69"/>
      <c r="D121" s="79"/>
      <c r="E121" s="71"/>
      <c r="F121" s="72"/>
      <c r="G121" s="82"/>
      <c r="H121" s="74"/>
      <c r="I121" s="75"/>
      <c r="J121" s="172">
        <v>43.4</v>
      </c>
      <c r="K121" s="53"/>
      <c r="L121" s="91">
        <f t="shared" si="32"/>
        <v>43.4</v>
      </c>
      <c r="M121" s="92">
        <f t="shared" si="33"/>
        <v>0</v>
      </c>
      <c r="N121" s="92">
        <f t="shared" si="34"/>
        <v>43.4</v>
      </c>
      <c r="O121" s="66"/>
      <c r="Q121" s="67"/>
      <c r="R121" s="67"/>
      <c r="S121" s="67"/>
      <c r="T121" s="67"/>
      <c r="U121" s="67"/>
      <c r="V121" s="67"/>
      <c r="W121" s="67"/>
      <c r="Y121" s="67"/>
      <c r="Z121" s="67"/>
      <c r="AA121" s="67"/>
      <c r="AB121" s="67"/>
      <c r="AC121" s="67"/>
      <c r="AD121" s="67"/>
      <c r="AE121" s="67"/>
      <c r="AG121" s="68"/>
      <c r="AH121" s="68"/>
      <c r="AI121" s="68"/>
      <c r="AJ121" s="68"/>
      <c r="AK121" s="68"/>
      <c r="AL121" s="68"/>
      <c r="AM121" s="68"/>
      <c r="AO121" s="68"/>
      <c r="AP121" s="68"/>
      <c r="AQ121" s="68"/>
      <c r="AR121" s="68"/>
      <c r="AS121" s="68"/>
      <c r="AT121" s="68"/>
      <c r="AU121" s="68"/>
      <c r="AW121" s="68"/>
      <c r="AX121" s="68"/>
      <c r="AY121" s="68"/>
      <c r="AZ121" s="68"/>
      <c r="BA121" s="68"/>
      <c r="BB121" s="68"/>
      <c r="BC121" s="68"/>
      <c r="BE121" s="68"/>
      <c r="BF121" s="68"/>
      <c r="BG121" s="68"/>
      <c r="BH121" s="68"/>
      <c r="BI121" s="68"/>
      <c r="BJ121" s="68"/>
      <c r="BK121" s="68"/>
    </row>
    <row r="122" spans="1:63">
      <c r="A122" s="42">
        <v>6</v>
      </c>
      <c r="B122" s="51" t="s">
        <v>9</v>
      </c>
      <c r="C122" s="69"/>
      <c r="D122" s="79"/>
      <c r="E122" s="80"/>
      <c r="F122" s="72"/>
      <c r="G122" s="73"/>
      <c r="H122" s="83"/>
      <c r="I122" s="84"/>
      <c r="J122" s="172"/>
      <c r="K122" s="53"/>
      <c r="L122" s="93">
        <f t="shared" si="32"/>
        <v>0</v>
      </c>
      <c r="M122" s="94">
        <f t="shared" si="33"/>
        <v>0</v>
      </c>
      <c r="N122" s="94">
        <f t="shared" si="34"/>
        <v>0</v>
      </c>
      <c r="O122" s="66"/>
      <c r="Q122" s="67"/>
      <c r="R122" s="67"/>
      <c r="S122" s="67"/>
      <c r="T122" s="67"/>
      <c r="U122" s="67"/>
      <c r="V122" s="67"/>
      <c r="W122" s="67"/>
      <c r="Y122" s="67"/>
      <c r="Z122" s="67"/>
      <c r="AA122" s="67"/>
      <c r="AB122" s="67"/>
      <c r="AC122" s="67"/>
      <c r="AD122" s="67"/>
      <c r="AE122" s="67"/>
      <c r="AG122" s="68"/>
      <c r="AH122" s="68"/>
      <c r="AI122" s="68"/>
      <c r="AJ122" s="68"/>
      <c r="AK122" s="68"/>
      <c r="AL122" s="68"/>
      <c r="AM122" s="68"/>
      <c r="AO122" s="68"/>
      <c r="AP122" s="68"/>
      <c r="AQ122" s="68"/>
      <c r="AR122" s="68"/>
      <c r="AS122" s="68"/>
      <c r="AT122" s="68"/>
      <c r="AU122" s="68"/>
      <c r="AW122" s="68"/>
      <c r="AX122" s="68"/>
      <c r="AY122" s="68"/>
      <c r="AZ122" s="68"/>
      <c r="BA122" s="68"/>
      <c r="BB122" s="68"/>
      <c r="BC122" s="68"/>
      <c r="BE122" s="68"/>
      <c r="BF122" s="68"/>
      <c r="BG122" s="68"/>
      <c r="BH122" s="68"/>
      <c r="BI122" s="68"/>
      <c r="BJ122" s="68"/>
      <c r="BK122" s="68"/>
    </row>
    <row r="123" spans="1:63">
      <c r="A123" s="43">
        <v>7</v>
      </c>
      <c r="B123" s="43" t="s">
        <v>60</v>
      </c>
      <c r="C123" s="95"/>
      <c r="D123" s="96"/>
      <c r="E123" s="97"/>
      <c r="F123" s="98"/>
      <c r="G123" s="99"/>
      <c r="H123" s="100"/>
      <c r="I123" s="101"/>
      <c r="J123" s="171"/>
      <c r="K123" s="53"/>
      <c r="L123" s="102">
        <f t="shared" si="32"/>
        <v>0</v>
      </c>
      <c r="M123" s="103">
        <f t="shared" si="33"/>
        <v>0</v>
      </c>
      <c r="N123" s="103">
        <f t="shared" si="34"/>
        <v>0</v>
      </c>
      <c r="O123" s="66"/>
      <c r="Q123" s="67"/>
      <c r="R123" s="67"/>
      <c r="S123" s="67"/>
      <c r="T123" s="67"/>
      <c r="U123" s="67"/>
      <c r="V123" s="67"/>
      <c r="W123" s="67"/>
      <c r="Y123" s="67"/>
      <c r="Z123" s="67"/>
      <c r="AA123" s="67"/>
      <c r="AB123" s="67"/>
      <c r="AC123" s="67"/>
      <c r="AD123" s="67"/>
      <c r="AE123" s="67"/>
      <c r="AG123" s="68"/>
      <c r="AH123" s="68"/>
      <c r="AI123" s="68"/>
      <c r="AJ123" s="68"/>
      <c r="AK123" s="68"/>
      <c r="AL123" s="68"/>
      <c r="AM123" s="68"/>
      <c r="AO123" s="68"/>
      <c r="AP123" s="68"/>
      <c r="AQ123" s="68"/>
      <c r="AR123" s="68"/>
      <c r="AS123" s="68"/>
      <c r="AT123" s="68"/>
      <c r="AU123" s="68"/>
      <c r="AW123" s="68"/>
      <c r="AX123" s="68"/>
      <c r="AY123" s="68"/>
      <c r="AZ123" s="68"/>
      <c r="BA123" s="68"/>
      <c r="BB123" s="68"/>
      <c r="BC123" s="68"/>
      <c r="BE123" s="68"/>
      <c r="BF123" s="68"/>
      <c r="BG123" s="68"/>
      <c r="BH123" s="68"/>
      <c r="BI123" s="68"/>
      <c r="BJ123" s="68"/>
      <c r="BK123" s="68"/>
    </row>
    <row r="124" spans="1:63">
      <c r="A124" s="44">
        <v>8</v>
      </c>
      <c r="B124" s="52" t="s">
        <v>10</v>
      </c>
      <c r="C124" s="173">
        <f>SUM(J120:J122)</f>
        <v>43.4</v>
      </c>
      <c r="D124" s="174"/>
      <c r="E124" s="175"/>
      <c r="F124" s="176"/>
      <c r="G124" s="177"/>
      <c r="H124" s="178"/>
      <c r="I124" s="179"/>
      <c r="J124" s="171"/>
      <c r="K124" s="53"/>
      <c r="L124" s="102">
        <f t="shared" si="32"/>
        <v>43.4</v>
      </c>
      <c r="M124" s="106"/>
      <c r="N124" s="66"/>
      <c r="O124" s="66"/>
    </row>
    <row r="125" spans="1:63">
      <c r="A125" s="45"/>
      <c r="B125" s="107"/>
      <c r="C125" s="107"/>
      <c r="D125" s="108"/>
      <c r="E125" s="109"/>
      <c r="F125" s="110"/>
      <c r="G125" s="111"/>
      <c r="H125" s="112"/>
      <c r="I125" s="112"/>
      <c r="J125" s="112"/>
      <c r="K125" s="53"/>
      <c r="L125" s="102"/>
      <c r="M125" s="113"/>
      <c r="N125" s="114"/>
      <c r="O125" s="115"/>
    </row>
    <row r="126" spans="1:63">
      <c r="B126" s="116" t="s">
        <v>14</v>
      </c>
      <c r="C126" s="117">
        <f t="shared" ref="C126" si="35">SUM(C117:C125)</f>
        <v>114.1</v>
      </c>
      <c r="D126" s="118">
        <f t="shared" ref="D126:H126" si="36">SUM(D117:D125)</f>
        <v>114.1</v>
      </c>
      <c r="E126" s="119">
        <f t="shared" si="36"/>
        <v>70.7</v>
      </c>
      <c r="F126" s="120">
        <f t="shared" si="36"/>
        <v>25.302199999999992</v>
      </c>
      <c r="G126" s="121">
        <f t="shared" si="36"/>
        <v>43.399999999999991</v>
      </c>
      <c r="H126" s="122">
        <f t="shared" si="36"/>
        <v>0</v>
      </c>
      <c r="I126" s="123"/>
      <c r="J126" s="124">
        <f t="shared" ref="J126" si="37">SUM(J117:J125)</f>
        <v>43.4</v>
      </c>
      <c r="K126" s="125"/>
      <c r="L126" s="126">
        <f>SUM(C126:I126)</f>
        <v>367.60219999999993</v>
      </c>
      <c r="M126" s="127" t="s">
        <v>15</v>
      </c>
      <c r="N126" s="128"/>
    </row>
    <row r="127" spans="1:63">
      <c r="B127" s="129" t="s">
        <v>16</v>
      </c>
      <c r="C127" s="65">
        <f t="shared" ref="C127:I127" si="38">SUM(C117:C123)</f>
        <v>70.7</v>
      </c>
      <c r="D127" s="78">
        <f t="shared" si="38"/>
        <v>114.1</v>
      </c>
      <c r="E127" s="86">
        <f t="shared" si="38"/>
        <v>70.7</v>
      </c>
      <c r="F127" s="90">
        <f t="shared" si="38"/>
        <v>25.302199999999992</v>
      </c>
      <c r="G127" s="92">
        <f t="shared" si="38"/>
        <v>43.399999999999991</v>
      </c>
      <c r="H127" s="94">
        <f t="shared" si="38"/>
        <v>0</v>
      </c>
      <c r="I127" s="103">
        <f t="shared" si="38"/>
        <v>0</v>
      </c>
      <c r="K127" s="26"/>
      <c r="L127" s="130">
        <f>SUM(C127:I127)</f>
        <v>324.20219999999995</v>
      </c>
      <c r="M127" s="127">
        <f>L127/L128</f>
        <v>7.4700967741935473</v>
      </c>
      <c r="N127" s="66"/>
      <c r="O127" s="131"/>
    </row>
    <row r="128" spans="1:63">
      <c r="B128" s="132" t="s">
        <v>17</v>
      </c>
      <c r="C128" s="133">
        <f>C124+C125</f>
        <v>43.4</v>
      </c>
      <c r="D128" s="134">
        <f>D124+D125</f>
        <v>0</v>
      </c>
      <c r="E128" s="135">
        <f t="shared" ref="E128:H128" si="39">E124+E125</f>
        <v>0</v>
      </c>
      <c r="F128" s="136">
        <f t="shared" si="39"/>
        <v>0</v>
      </c>
      <c r="G128" s="137">
        <f t="shared" si="39"/>
        <v>0</v>
      </c>
      <c r="H128" s="138">
        <f t="shared" si="39"/>
        <v>0</v>
      </c>
      <c r="I128" s="139">
        <f>I124+I125</f>
        <v>0</v>
      </c>
      <c r="J128" s="140"/>
      <c r="K128" s="141"/>
      <c r="L128" s="130">
        <f>SUM(C128:I128)</f>
        <v>43.4</v>
      </c>
      <c r="M128" s="142"/>
      <c r="N128" s="66"/>
      <c r="O128" s="66"/>
    </row>
    <row r="129" spans="1:44">
      <c r="A129" s="143"/>
      <c r="B129" s="26"/>
      <c r="C129" s="142">
        <f>C126-L117</f>
        <v>0</v>
      </c>
      <c r="D129" s="142">
        <f>D126-L118</f>
        <v>0</v>
      </c>
      <c r="E129" s="142">
        <f>E126-L119</f>
        <v>0</v>
      </c>
      <c r="F129" s="142">
        <f>F126-L120</f>
        <v>0</v>
      </c>
      <c r="G129" s="142">
        <f>G126-L121</f>
        <v>0</v>
      </c>
      <c r="H129" s="142">
        <f>H126-L122</f>
        <v>0</v>
      </c>
      <c r="I129" s="142">
        <f>I126-L123</f>
        <v>0</v>
      </c>
      <c r="J129" s="44"/>
      <c r="K129" s="144"/>
      <c r="L129" s="145">
        <f>SUM(L117:L125)</f>
        <v>411.0021999999999</v>
      </c>
      <c r="M129" s="146">
        <f>SUM(M117:M123)</f>
        <v>324.20219999999995</v>
      </c>
      <c r="N129" s="147">
        <f>SUM(N117:N123)</f>
        <v>43.4</v>
      </c>
      <c r="O129" s="148">
        <f>M129+N129</f>
        <v>367.60219999999993</v>
      </c>
    </row>
    <row r="130" spans="1:44">
      <c r="A130" s="143"/>
      <c r="B130" s="143"/>
      <c r="C130" s="143"/>
      <c r="D130" s="143"/>
      <c r="E130" s="149"/>
      <c r="F130" s="143"/>
      <c r="G130" s="143"/>
      <c r="H130" s="150"/>
      <c r="I130" s="151"/>
      <c r="J130" s="44"/>
      <c r="K130" s="144"/>
      <c r="L130" s="152">
        <f>L127+L128</f>
        <v>367.60219999999993</v>
      </c>
      <c r="M130" s="153" t="s">
        <v>15</v>
      </c>
      <c r="N130" s="66"/>
      <c r="O130" s="148">
        <f>SUM(C126:K126)</f>
        <v>411.0021999999999</v>
      </c>
    </row>
    <row r="131" spans="1:44">
      <c r="A131" s="143"/>
      <c r="B131" s="143"/>
      <c r="C131" s="143"/>
      <c r="D131" s="143"/>
      <c r="E131" s="143"/>
      <c r="F131" s="143"/>
      <c r="G131" s="143"/>
      <c r="H131" s="149"/>
      <c r="I131" s="154"/>
      <c r="J131" s="149"/>
      <c r="K131" s="149"/>
      <c r="L131" s="155">
        <f>SUM(L117:L125)</f>
        <v>411.0021999999999</v>
      </c>
      <c r="M131" s="153">
        <f>M129/N129</f>
        <v>7.4700967741935473</v>
      </c>
      <c r="N131" s="66"/>
      <c r="O131" s="66"/>
    </row>
    <row r="132" spans="1:44">
      <c r="A132" s="186"/>
      <c r="H132" s="158" t="s">
        <v>18</v>
      </c>
      <c r="I132" s="158"/>
      <c r="K132" s="158"/>
      <c r="L132" s="159">
        <f>L130/L117</f>
        <v>3.2217546012269933</v>
      </c>
      <c r="M132" s="158" t="s">
        <v>19</v>
      </c>
      <c r="N132" s="159">
        <f>(L130-L117)/L117</f>
        <v>2.2217546012269933</v>
      </c>
    </row>
    <row r="135" spans="1:44">
      <c r="A135" s="24" t="s">
        <v>22</v>
      </c>
    </row>
    <row r="136" spans="1:44">
      <c r="A136" s="187" t="s">
        <v>23</v>
      </c>
      <c r="P136" s="187" t="s">
        <v>24</v>
      </c>
      <c r="AE136" s="187" t="s">
        <v>25</v>
      </c>
    </row>
    <row r="137" spans="1:44">
      <c r="B137" s="188" t="s">
        <v>26</v>
      </c>
      <c r="C137" s="28"/>
      <c r="D137" s="28"/>
      <c r="E137" s="28"/>
      <c r="G137" s="29" t="s">
        <v>1</v>
      </c>
      <c r="H137" s="29"/>
      <c r="I137" s="30">
        <v>7</v>
      </c>
      <c r="J137" s="29" t="s">
        <v>2</v>
      </c>
      <c r="K137" s="29"/>
      <c r="L137" s="30">
        <v>11</v>
      </c>
      <c r="M137" s="31">
        <f>L137/I137</f>
        <v>1.5714285714285714</v>
      </c>
      <c r="N137" s="32"/>
      <c r="O137" s="33"/>
      <c r="Q137" s="188" t="s">
        <v>26</v>
      </c>
      <c r="R137" s="28"/>
      <c r="S137" s="28"/>
      <c r="T137" s="28"/>
      <c r="AF137" s="188" t="s">
        <v>26</v>
      </c>
    </row>
    <row r="138" spans="1:44">
      <c r="B138" s="34" t="s">
        <v>3</v>
      </c>
      <c r="C138" s="34"/>
      <c r="D138" s="34"/>
      <c r="E138" s="35"/>
      <c r="F138" s="28"/>
      <c r="G138" s="28"/>
      <c r="H138" s="28"/>
      <c r="I138" s="29" t="s">
        <v>27</v>
      </c>
      <c r="J138" s="28"/>
      <c r="K138" s="28"/>
      <c r="L138" s="32"/>
      <c r="M138" s="32"/>
      <c r="N138" s="32"/>
      <c r="O138" s="33"/>
    </row>
    <row r="139" spans="1:44">
      <c r="B139" s="36" t="s">
        <v>4</v>
      </c>
      <c r="C139" s="37">
        <v>1</v>
      </c>
      <c r="D139" s="38">
        <v>2</v>
      </c>
      <c r="E139" s="39">
        <v>3</v>
      </c>
      <c r="F139" s="40">
        <v>4</v>
      </c>
      <c r="G139" s="41">
        <v>5</v>
      </c>
      <c r="H139" s="42">
        <v>6</v>
      </c>
      <c r="I139" s="43">
        <v>7</v>
      </c>
      <c r="J139" s="44">
        <v>8</v>
      </c>
      <c r="K139" s="45"/>
      <c r="L139" s="46"/>
      <c r="M139" s="46"/>
      <c r="O139" s="32"/>
      <c r="Q139" s="36" t="s">
        <v>4</v>
      </c>
      <c r="R139" s="37">
        <v>1</v>
      </c>
      <c r="S139" s="39">
        <v>2</v>
      </c>
      <c r="T139" s="39">
        <v>3</v>
      </c>
      <c r="U139" s="40">
        <v>4</v>
      </c>
      <c r="V139" s="41">
        <v>5</v>
      </c>
      <c r="W139" s="42">
        <v>6</v>
      </c>
      <c r="X139" s="43">
        <v>7</v>
      </c>
      <c r="Y139" s="44">
        <v>8</v>
      </c>
      <c r="Z139" s="28"/>
      <c r="AA139" s="28"/>
      <c r="AF139" s="36" t="s">
        <v>4</v>
      </c>
      <c r="AG139" s="37">
        <v>1</v>
      </c>
      <c r="AH139" s="39">
        <v>2</v>
      </c>
      <c r="AI139" s="39">
        <v>3</v>
      </c>
      <c r="AJ139" s="40">
        <v>4</v>
      </c>
      <c r="AK139" s="41">
        <v>5</v>
      </c>
      <c r="AL139" s="42">
        <v>6</v>
      </c>
      <c r="AM139" s="43">
        <v>7</v>
      </c>
      <c r="AN139" s="44">
        <v>8</v>
      </c>
      <c r="AO139" s="28"/>
      <c r="AP139" s="28"/>
    </row>
    <row r="140" spans="1:44">
      <c r="A140" s="47" t="s">
        <v>5</v>
      </c>
      <c r="C140" s="37" t="s">
        <v>6</v>
      </c>
      <c r="D140" s="48" t="s">
        <v>59</v>
      </c>
      <c r="E140" s="49" t="s">
        <v>58</v>
      </c>
      <c r="F140" s="40" t="s">
        <v>7</v>
      </c>
      <c r="G140" s="50" t="s">
        <v>8</v>
      </c>
      <c r="H140" s="51" t="s">
        <v>9</v>
      </c>
      <c r="I140" s="43" t="s">
        <v>60</v>
      </c>
      <c r="J140" s="52" t="s">
        <v>10</v>
      </c>
      <c r="K140" s="53"/>
      <c r="L140" s="160" t="s">
        <v>11</v>
      </c>
      <c r="M140" s="161" t="s">
        <v>12</v>
      </c>
      <c r="N140" s="161" t="s">
        <v>13</v>
      </c>
      <c r="O140" s="28"/>
      <c r="R140" s="37" t="s">
        <v>6</v>
      </c>
      <c r="S140" s="48" t="s">
        <v>59</v>
      </c>
      <c r="T140" s="49" t="s">
        <v>58</v>
      </c>
      <c r="U140" s="40" t="s">
        <v>7</v>
      </c>
      <c r="V140" s="50" t="s">
        <v>8</v>
      </c>
      <c r="W140" s="51" t="s">
        <v>9</v>
      </c>
      <c r="X140" s="43" t="s">
        <v>28</v>
      </c>
      <c r="Y140" s="52" t="s">
        <v>10</v>
      </c>
      <c r="Z140" s="180"/>
      <c r="AA140" s="54" t="s">
        <v>11</v>
      </c>
      <c r="AB140" s="55" t="s">
        <v>12</v>
      </c>
      <c r="AC140" s="189" t="s">
        <v>13</v>
      </c>
      <c r="AG140" s="37" t="s">
        <v>6</v>
      </c>
      <c r="AH140" s="48" t="s">
        <v>59</v>
      </c>
      <c r="AI140" s="49" t="s">
        <v>58</v>
      </c>
      <c r="AJ140" s="40" t="s">
        <v>7</v>
      </c>
      <c r="AK140" s="50" t="s">
        <v>8</v>
      </c>
      <c r="AL140" s="51" t="s">
        <v>9</v>
      </c>
      <c r="AM140" s="43" t="s">
        <v>28</v>
      </c>
      <c r="AN140" s="52" t="s">
        <v>10</v>
      </c>
      <c r="AO140" s="180"/>
      <c r="AP140" s="54" t="s">
        <v>11</v>
      </c>
      <c r="AQ140" s="55" t="s">
        <v>12</v>
      </c>
      <c r="AR140" s="189" t="s">
        <v>13</v>
      </c>
    </row>
    <row r="141" spans="1:44">
      <c r="A141" s="37">
        <v>1</v>
      </c>
      <c r="B141" s="37" t="s">
        <v>6</v>
      </c>
      <c r="C141" s="56"/>
      <c r="D141" s="57">
        <v>130.96727999999999</v>
      </c>
      <c r="E141" s="58"/>
      <c r="F141" s="59"/>
      <c r="G141" s="60"/>
      <c r="H141" s="61"/>
      <c r="I141" s="62">
        <v>0.1</v>
      </c>
      <c r="J141" s="171"/>
      <c r="K141" s="53"/>
      <c r="L141" s="64">
        <f t="shared" ref="L141:L148" si="40">SUM(C141:K141)</f>
        <v>131.06727999999998</v>
      </c>
      <c r="M141" s="65">
        <f t="shared" ref="M141:M147" si="41">SUM(C141:I141)</f>
        <v>131.06727999999998</v>
      </c>
      <c r="N141" s="65">
        <f>SUM(J141:K141)</f>
        <v>0</v>
      </c>
      <c r="O141" s="66"/>
      <c r="Q141" s="37" t="s">
        <v>6</v>
      </c>
      <c r="R141" s="190"/>
      <c r="S141" s="191">
        <v>130.96727999999999</v>
      </c>
      <c r="T141" s="192"/>
      <c r="U141" s="193"/>
      <c r="V141" s="194"/>
      <c r="W141" s="195"/>
      <c r="X141" s="196">
        <v>0.1</v>
      </c>
      <c r="Y141" s="171"/>
      <c r="Z141" s="171"/>
      <c r="AA141" s="64">
        <v>131.06727999999998</v>
      </c>
      <c r="AB141" s="65">
        <v>131.06727999999998</v>
      </c>
      <c r="AC141" s="197">
        <v>0</v>
      </c>
      <c r="AF141" s="37" t="s">
        <v>6</v>
      </c>
      <c r="AG141" s="190"/>
      <c r="AH141" s="191">
        <v>130.96727999999999</v>
      </c>
      <c r="AI141" s="192"/>
      <c r="AJ141" s="193"/>
      <c r="AK141" s="194"/>
      <c r="AL141" s="195"/>
      <c r="AM141" s="196">
        <v>0.1</v>
      </c>
      <c r="AN141" s="171"/>
      <c r="AO141" s="171"/>
      <c r="AP141" s="64">
        <v>131.06727999999998</v>
      </c>
      <c r="AQ141" s="65">
        <v>131.06727999999998</v>
      </c>
      <c r="AR141" s="197">
        <v>0</v>
      </c>
    </row>
    <row r="142" spans="1:44">
      <c r="A142" s="38">
        <v>2</v>
      </c>
      <c r="B142" s="38" t="s">
        <v>59</v>
      </c>
      <c r="C142" s="69"/>
      <c r="D142" s="70"/>
      <c r="E142" s="71">
        <v>74.511219999999994</v>
      </c>
      <c r="F142" s="72">
        <v>28.295399999999997</v>
      </c>
      <c r="G142" s="73">
        <v>28.295399999999997</v>
      </c>
      <c r="H142" s="74"/>
      <c r="I142" s="75"/>
      <c r="J142" s="171"/>
      <c r="K142" s="53"/>
      <c r="L142" s="77">
        <f t="shared" si="40"/>
        <v>131.10201999999998</v>
      </c>
      <c r="M142" s="78">
        <f t="shared" si="41"/>
        <v>131.10201999999998</v>
      </c>
      <c r="N142" s="78">
        <f>SUM(J142:K142)</f>
        <v>0</v>
      </c>
      <c r="O142" s="66"/>
      <c r="Q142" s="48" t="s">
        <v>59</v>
      </c>
      <c r="R142" s="198"/>
      <c r="S142" s="199"/>
      <c r="T142" s="175">
        <v>74.511219999999994</v>
      </c>
      <c r="U142" s="176"/>
      <c r="V142" s="177">
        <v>56.590799999999994</v>
      </c>
      <c r="W142" s="178"/>
      <c r="X142" s="200"/>
      <c r="Y142" s="171"/>
      <c r="Z142" s="171"/>
      <c r="AA142" s="77">
        <v>131.10201999999998</v>
      </c>
      <c r="AB142" s="86">
        <v>131.10201999999998</v>
      </c>
      <c r="AC142" s="201">
        <v>0</v>
      </c>
      <c r="AF142" s="48" t="s">
        <v>59</v>
      </c>
      <c r="AG142" s="198"/>
      <c r="AH142" s="199"/>
      <c r="AI142" s="175">
        <v>74.511219999999994</v>
      </c>
      <c r="AJ142" s="176">
        <v>56.590799999999994</v>
      </c>
      <c r="AK142" s="177"/>
      <c r="AL142" s="178"/>
      <c r="AM142" s="200"/>
      <c r="AN142" s="171"/>
      <c r="AO142" s="171"/>
      <c r="AP142" s="77">
        <v>131.10201999999998</v>
      </c>
      <c r="AQ142" s="86">
        <v>131.10201999999998</v>
      </c>
      <c r="AR142" s="201">
        <v>0</v>
      </c>
    </row>
    <row r="143" spans="1:44">
      <c r="A143" s="39">
        <v>3</v>
      </c>
      <c r="B143" s="49" t="s">
        <v>58</v>
      </c>
      <c r="C143" s="69">
        <v>74.511219999999994</v>
      </c>
      <c r="D143" s="79"/>
      <c r="E143" s="80"/>
      <c r="F143" s="81"/>
      <c r="G143" s="82"/>
      <c r="H143" s="83"/>
      <c r="I143" s="84"/>
      <c r="J143" s="171"/>
      <c r="K143" s="53"/>
      <c r="L143" s="85">
        <f t="shared" si="40"/>
        <v>74.511219999999994</v>
      </c>
      <c r="M143" s="86">
        <f t="shared" si="41"/>
        <v>74.511219999999994</v>
      </c>
      <c r="N143" s="86">
        <f t="shared" ref="N143:N147" si="42">SUM(J143:K143)</f>
        <v>0</v>
      </c>
      <c r="O143" s="66"/>
      <c r="Q143" s="49" t="s">
        <v>58</v>
      </c>
      <c r="R143" s="198">
        <v>74.511219999999994</v>
      </c>
      <c r="S143" s="199"/>
      <c r="T143" s="175"/>
      <c r="U143" s="176"/>
      <c r="V143" s="177"/>
      <c r="W143" s="178"/>
      <c r="X143" s="202"/>
      <c r="Y143" s="171"/>
      <c r="Z143" s="171"/>
      <c r="AA143" s="85">
        <v>74.511219999999994</v>
      </c>
      <c r="AB143" s="86">
        <v>74.511219999999994</v>
      </c>
      <c r="AC143" s="201">
        <v>0</v>
      </c>
      <c r="AF143" s="49" t="s">
        <v>58</v>
      </c>
      <c r="AG143" s="198">
        <v>74.511219999999994</v>
      </c>
      <c r="AH143" s="199"/>
      <c r="AI143" s="175"/>
      <c r="AJ143" s="176"/>
      <c r="AK143" s="177"/>
      <c r="AL143" s="178"/>
      <c r="AM143" s="202"/>
      <c r="AN143" s="171"/>
      <c r="AO143" s="171"/>
      <c r="AP143" s="85">
        <v>74.511219999999994</v>
      </c>
      <c r="AQ143" s="86">
        <v>74.511219999999994</v>
      </c>
      <c r="AR143" s="201">
        <v>0</v>
      </c>
    </row>
    <row r="144" spans="1:44">
      <c r="A144" s="40">
        <v>4</v>
      </c>
      <c r="B144" s="40" t="s">
        <v>7</v>
      </c>
      <c r="C144" s="87"/>
      <c r="D144" s="79"/>
      <c r="E144" s="71"/>
      <c r="F144" s="81"/>
      <c r="G144" s="73">
        <v>28.295399999999997</v>
      </c>
      <c r="H144" s="74"/>
      <c r="I144" s="84"/>
      <c r="J144" s="172"/>
      <c r="K144" s="53"/>
      <c r="L144" s="89">
        <f t="shared" si="40"/>
        <v>28.295399999999997</v>
      </c>
      <c r="M144" s="90">
        <f t="shared" si="41"/>
        <v>28.295399999999997</v>
      </c>
      <c r="N144" s="90">
        <f t="shared" si="42"/>
        <v>0</v>
      </c>
      <c r="O144" s="66"/>
      <c r="Q144" s="40" t="s">
        <v>7</v>
      </c>
      <c r="R144" s="198"/>
      <c r="S144" s="199"/>
      <c r="T144" s="175"/>
      <c r="U144" s="176"/>
      <c r="V144" s="177"/>
      <c r="W144" s="178"/>
      <c r="X144" s="202"/>
      <c r="Y144" s="172"/>
      <c r="Z144" s="171"/>
      <c r="AA144" s="89">
        <v>0</v>
      </c>
      <c r="AB144" s="90">
        <v>0</v>
      </c>
      <c r="AC144" s="203">
        <v>0</v>
      </c>
      <c r="AF144" s="40" t="s">
        <v>7</v>
      </c>
      <c r="AG144" s="198"/>
      <c r="AH144" s="199"/>
      <c r="AI144" s="175"/>
      <c r="AJ144" s="176"/>
      <c r="AK144" s="177">
        <v>56.590799999999994</v>
      </c>
      <c r="AL144" s="178"/>
      <c r="AM144" s="202"/>
      <c r="AN144" s="172"/>
      <c r="AO144" s="171"/>
      <c r="AP144" s="89">
        <v>56.590799999999994</v>
      </c>
      <c r="AQ144" s="90">
        <v>56.590799999999994</v>
      </c>
      <c r="AR144" s="203">
        <v>0</v>
      </c>
    </row>
    <row r="145" spans="1:44">
      <c r="A145" s="41">
        <v>5</v>
      </c>
      <c r="B145" s="50" t="s">
        <v>8</v>
      </c>
      <c r="C145" s="69"/>
      <c r="D145" s="79"/>
      <c r="E145" s="71"/>
      <c r="F145" s="72"/>
      <c r="G145" s="82"/>
      <c r="H145" s="74"/>
      <c r="I145" s="75"/>
      <c r="J145" s="172">
        <v>56.590799999999994</v>
      </c>
      <c r="K145" s="53"/>
      <c r="L145" s="91">
        <f t="shared" si="40"/>
        <v>56.590799999999994</v>
      </c>
      <c r="M145" s="92">
        <f t="shared" si="41"/>
        <v>0</v>
      </c>
      <c r="N145" s="92">
        <f t="shared" si="42"/>
        <v>56.590799999999994</v>
      </c>
      <c r="O145" s="66"/>
      <c r="Q145" s="50" t="s">
        <v>8</v>
      </c>
      <c r="R145" s="198"/>
      <c r="S145" s="199"/>
      <c r="T145" s="175"/>
      <c r="U145" s="176"/>
      <c r="V145" s="177"/>
      <c r="W145" s="178"/>
      <c r="X145" s="200"/>
      <c r="Y145" s="172">
        <v>56.590799999999994</v>
      </c>
      <c r="Z145" s="171"/>
      <c r="AA145" s="91">
        <v>56.590799999999994</v>
      </c>
      <c r="AB145" s="92">
        <v>0</v>
      </c>
      <c r="AC145" s="204">
        <v>56.590799999999994</v>
      </c>
      <c r="AF145" s="50" t="s">
        <v>8</v>
      </c>
      <c r="AG145" s="198"/>
      <c r="AH145" s="199"/>
      <c r="AI145" s="175"/>
      <c r="AJ145" s="176"/>
      <c r="AK145" s="177"/>
      <c r="AL145" s="178"/>
      <c r="AM145" s="200"/>
      <c r="AN145" s="172">
        <v>56.590799999999994</v>
      </c>
      <c r="AO145" s="171"/>
      <c r="AP145" s="91">
        <v>56.590799999999994</v>
      </c>
      <c r="AQ145" s="92">
        <v>0</v>
      </c>
      <c r="AR145" s="204">
        <v>56.590799999999994</v>
      </c>
    </row>
    <row r="146" spans="1:44">
      <c r="A146" s="42">
        <v>6</v>
      </c>
      <c r="B146" s="51" t="s">
        <v>9</v>
      </c>
      <c r="C146" s="69"/>
      <c r="D146" s="79"/>
      <c r="E146" s="80"/>
      <c r="F146" s="72"/>
      <c r="G146" s="73"/>
      <c r="H146" s="83"/>
      <c r="I146" s="84"/>
      <c r="J146" s="172"/>
      <c r="K146" s="53"/>
      <c r="L146" s="93">
        <f t="shared" si="40"/>
        <v>0</v>
      </c>
      <c r="M146" s="94">
        <f t="shared" si="41"/>
        <v>0</v>
      </c>
      <c r="N146" s="94">
        <f t="shared" si="42"/>
        <v>0</v>
      </c>
      <c r="O146" s="66"/>
      <c r="Q146" s="51" t="s">
        <v>9</v>
      </c>
      <c r="R146" s="198"/>
      <c r="S146" s="199"/>
      <c r="T146" s="175"/>
      <c r="U146" s="176"/>
      <c r="V146" s="177"/>
      <c r="W146" s="178"/>
      <c r="X146" s="202"/>
      <c r="Y146" s="172"/>
      <c r="Z146" s="171"/>
      <c r="AA146" s="93">
        <v>0</v>
      </c>
      <c r="AB146" s="94">
        <v>0</v>
      </c>
      <c r="AC146" s="205">
        <v>0</v>
      </c>
      <c r="AF146" s="51" t="s">
        <v>9</v>
      </c>
      <c r="AG146" s="198"/>
      <c r="AH146" s="199"/>
      <c r="AI146" s="175"/>
      <c r="AJ146" s="176"/>
      <c r="AK146" s="177"/>
      <c r="AL146" s="178"/>
      <c r="AM146" s="202"/>
      <c r="AN146" s="172"/>
      <c r="AO146" s="171"/>
      <c r="AP146" s="93">
        <v>0</v>
      </c>
      <c r="AQ146" s="94">
        <v>0</v>
      </c>
      <c r="AR146" s="205">
        <v>0</v>
      </c>
    </row>
    <row r="147" spans="1:44">
      <c r="A147" s="43">
        <v>7</v>
      </c>
      <c r="B147" s="43" t="s">
        <v>60</v>
      </c>
      <c r="C147" s="95"/>
      <c r="D147" s="96">
        <v>0.1</v>
      </c>
      <c r="E147" s="97"/>
      <c r="F147" s="98"/>
      <c r="G147" s="99"/>
      <c r="H147" s="100"/>
      <c r="I147" s="101"/>
      <c r="J147" s="171"/>
      <c r="K147" s="53"/>
      <c r="L147" s="102">
        <f t="shared" si="40"/>
        <v>0.1</v>
      </c>
      <c r="M147" s="103">
        <f t="shared" si="41"/>
        <v>0.1</v>
      </c>
      <c r="N147" s="103">
        <f t="shared" si="42"/>
        <v>0</v>
      </c>
      <c r="O147" s="66"/>
      <c r="Q147" s="43" t="s">
        <v>28</v>
      </c>
      <c r="R147" s="206"/>
      <c r="S147" s="207">
        <v>0.1</v>
      </c>
      <c r="T147" s="208"/>
      <c r="U147" s="209"/>
      <c r="V147" s="210"/>
      <c r="W147" s="211"/>
      <c r="X147" s="212"/>
      <c r="Y147" s="171"/>
      <c r="Z147" s="171"/>
      <c r="AA147" s="102">
        <v>0.1</v>
      </c>
      <c r="AB147" s="103">
        <v>0.1</v>
      </c>
      <c r="AC147" s="213">
        <v>0</v>
      </c>
      <c r="AF147" s="43" t="s">
        <v>28</v>
      </c>
      <c r="AG147" s="206"/>
      <c r="AH147" s="207">
        <v>0.1</v>
      </c>
      <c r="AI147" s="208"/>
      <c r="AJ147" s="209"/>
      <c r="AK147" s="210"/>
      <c r="AL147" s="211"/>
      <c r="AM147" s="212"/>
      <c r="AN147" s="171"/>
      <c r="AO147" s="171"/>
      <c r="AP147" s="102">
        <v>0.1</v>
      </c>
      <c r="AQ147" s="103">
        <v>0.1</v>
      </c>
      <c r="AR147" s="213">
        <v>0</v>
      </c>
    </row>
    <row r="148" spans="1:44">
      <c r="A148" s="44">
        <v>8</v>
      </c>
      <c r="B148" s="52" t="s">
        <v>10</v>
      </c>
      <c r="C148" s="173">
        <v>56.590799999999994</v>
      </c>
      <c r="D148" s="174"/>
      <c r="E148" s="175"/>
      <c r="F148" s="176"/>
      <c r="G148" s="177"/>
      <c r="H148" s="178"/>
      <c r="I148" s="179"/>
      <c r="J148" s="171"/>
      <c r="K148" s="53"/>
      <c r="L148" s="102">
        <f t="shared" si="40"/>
        <v>56.590799999999994</v>
      </c>
      <c r="M148" s="106"/>
      <c r="N148" s="66"/>
      <c r="O148" s="66"/>
      <c r="Q148" s="52" t="s">
        <v>10</v>
      </c>
      <c r="R148" s="173">
        <v>56.590799999999994</v>
      </c>
      <c r="S148" s="174"/>
      <c r="T148" s="175"/>
      <c r="U148" s="176"/>
      <c r="V148" s="177"/>
      <c r="W148" s="178"/>
      <c r="X148" s="179"/>
      <c r="Y148" s="171"/>
      <c r="Z148" s="171"/>
      <c r="AA148" s="102">
        <v>56.590799999999994</v>
      </c>
      <c r="AB148" s="106"/>
      <c r="AC148" s="214"/>
      <c r="AF148" s="52" t="s">
        <v>10</v>
      </c>
      <c r="AG148" s="173">
        <v>56.590799999999994</v>
      </c>
      <c r="AH148" s="174"/>
      <c r="AI148" s="175"/>
      <c r="AJ148" s="176"/>
      <c r="AK148" s="177"/>
      <c r="AL148" s="178"/>
      <c r="AM148" s="179"/>
      <c r="AN148" s="171"/>
      <c r="AO148" s="171"/>
      <c r="AP148" s="102">
        <v>56.590799999999994</v>
      </c>
      <c r="AQ148" s="106"/>
      <c r="AR148" s="214"/>
    </row>
    <row r="149" spans="1:44">
      <c r="A149" s="45"/>
      <c r="B149" s="107"/>
      <c r="C149" s="107"/>
      <c r="D149" s="108"/>
      <c r="E149" s="109"/>
      <c r="F149" s="110"/>
      <c r="G149" s="111"/>
      <c r="H149" s="112"/>
      <c r="I149" s="112"/>
      <c r="J149" s="112"/>
      <c r="K149" s="53"/>
      <c r="L149" s="102"/>
      <c r="M149" s="113"/>
      <c r="N149" s="114"/>
      <c r="O149" s="115"/>
      <c r="Q149" s="180"/>
      <c r="R149" s="199"/>
      <c r="S149" s="199"/>
      <c r="T149" s="175"/>
      <c r="U149" s="215"/>
      <c r="V149" s="177"/>
      <c r="W149" s="178"/>
      <c r="X149" s="215"/>
      <c r="Y149" s="216"/>
      <c r="Z149" s="217"/>
      <c r="AA149" s="102"/>
      <c r="AB149" s="113"/>
      <c r="AC149" s="218"/>
      <c r="AF149" s="180"/>
      <c r="AG149" s="199"/>
      <c r="AH149" s="199"/>
      <c r="AI149" s="175"/>
      <c r="AJ149" s="215"/>
      <c r="AK149" s="177"/>
      <c r="AL149" s="178"/>
      <c r="AM149" s="215"/>
      <c r="AN149" s="216"/>
      <c r="AO149" s="217"/>
      <c r="AP149" s="102">
        <v>0</v>
      </c>
      <c r="AQ149" s="113"/>
      <c r="AR149" s="218"/>
    </row>
    <row r="150" spans="1:44">
      <c r="B150" s="116" t="s">
        <v>14</v>
      </c>
      <c r="C150" s="117">
        <f t="shared" ref="C150" si="43">SUM(C141:C149)</f>
        <v>131.10201999999998</v>
      </c>
      <c r="D150" s="118">
        <f t="shared" ref="D150:G150" si="44">SUM(D141:D149)</f>
        <v>131.06727999999998</v>
      </c>
      <c r="E150" s="119">
        <f t="shared" si="44"/>
        <v>74.511219999999994</v>
      </c>
      <c r="F150" s="120">
        <f t="shared" si="44"/>
        <v>28.295399999999997</v>
      </c>
      <c r="G150" s="121">
        <f t="shared" si="44"/>
        <v>56.590799999999994</v>
      </c>
      <c r="H150" s="122">
        <f>SUM(H141:H149)</f>
        <v>0</v>
      </c>
      <c r="I150" s="219">
        <f>SUM(I141:I149)</f>
        <v>0.1</v>
      </c>
      <c r="J150" s="124">
        <f t="shared" ref="J150" si="45">SUM(J141:J149)</f>
        <v>56.590799999999994</v>
      </c>
      <c r="K150" s="125"/>
      <c r="L150" s="126">
        <f>SUM(C150:I150)</f>
        <v>421.66671999999994</v>
      </c>
      <c r="M150" s="127" t="s">
        <v>15</v>
      </c>
      <c r="N150" s="128"/>
      <c r="Q150" s="116" t="s">
        <v>14</v>
      </c>
      <c r="R150" s="117">
        <v>131.10201999999998</v>
      </c>
      <c r="S150" s="118">
        <v>131.06727999999998</v>
      </c>
      <c r="T150" s="119">
        <v>74.511219999999994</v>
      </c>
      <c r="U150" s="120">
        <v>0</v>
      </c>
      <c r="V150" s="121">
        <v>56.590799999999994</v>
      </c>
      <c r="W150" s="122">
        <v>0</v>
      </c>
      <c r="X150" s="219">
        <v>0.1</v>
      </c>
      <c r="Y150" s="124">
        <v>56.590799999999994</v>
      </c>
      <c r="Z150" s="125"/>
      <c r="AA150" s="126">
        <v>393.37131999999997</v>
      </c>
      <c r="AB150" s="127" t="s">
        <v>15</v>
      </c>
      <c r="AC150" s="128"/>
      <c r="AF150" s="116" t="s">
        <v>14</v>
      </c>
      <c r="AG150" s="117">
        <v>131.10201999999998</v>
      </c>
      <c r="AH150" s="118">
        <v>131.06727999999998</v>
      </c>
      <c r="AI150" s="119">
        <v>74.511219999999994</v>
      </c>
      <c r="AJ150" s="120">
        <v>56.590799999999994</v>
      </c>
      <c r="AK150" s="121">
        <v>56.590799999999994</v>
      </c>
      <c r="AL150" s="122">
        <v>0</v>
      </c>
      <c r="AM150" s="219">
        <v>0.1</v>
      </c>
      <c r="AN150" s="124">
        <v>56.590799999999994</v>
      </c>
      <c r="AO150" s="125"/>
      <c r="AP150" s="126">
        <v>449.96211999999997</v>
      </c>
      <c r="AQ150" s="127" t="s">
        <v>15</v>
      </c>
      <c r="AR150" s="128"/>
    </row>
    <row r="151" spans="1:44">
      <c r="B151" s="129" t="s">
        <v>16</v>
      </c>
      <c r="C151" s="65">
        <f t="shared" ref="C151:I151" si="46">SUM(C141:C147)</f>
        <v>74.511219999999994</v>
      </c>
      <c r="D151" s="78">
        <f t="shared" si="46"/>
        <v>131.06727999999998</v>
      </c>
      <c r="E151" s="86">
        <f t="shared" si="46"/>
        <v>74.511219999999994</v>
      </c>
      <c r="F151" s="90">
        <f t="shared" si="46"/>
        <v>28.295399999999997</v>
      </c>
      <c r="G151" s="92">
        <f t="shared" si="46"/>
        <v>56.590799999999994</v>
      </c>
      <c r="H151" s="94">
        <f t="shared" si="46"/>
        <v>0</v>
      </c>
      <c r="I151" s="103">
        <f t="shared" si="46"/>
        <v>0.1</v>
      </c>
      <c r="K151" s="26"/>
      <c r="L151" s="130">
        <f>SUM(C151:I151)</f>
        <v>365.07591999999994</v>
      </c>
      <c r="M151" s="127">
        <f>L151/L152</f>
        <v>6.4511531909780384</v>
      </c>
      <c r="N151" s="66"/>
      <c r="O151" s="131"/>
      <c r="Q151" s="129" t="s">
        <v>16</v>
      </c>
      <c r="R151" s="65">
        <v>74.511219999999994</v>
      </c>
      <c r="S151" s="86">
        <v>131.06727999999998</v>
      </c>
      <c r="T151" s="86">
        <v>74.511219999999994</v>
      </c>
      <c r="U151" s="90">
        <v>0</v>
      </c>
      <c r="V151" s="92">
        <v>56.590799999999994</v>
      </c>
      <c r="W151" s="94">
        <v>0</v>
      </c>
      <c r="X151" s="103">
        <v>0.1</v>
      </c>
      <c r="Y151" s="142"/>
      <c r="Z151" s="179"/>
      <c r="AA151" s="130">
        <v>336.78051999999997</v>
      </c>
      <c r="AB151" s="127">
        <v>5.9511531909780384</v>
      </c>
      <c r="AC151" s="66"/>
      <c r="AF151" s="129" t="s">
        <v>16</v>
      </c>
      <c r="AG151" s="65">
        <v>74.511219999999994</v>
      </c>
      <c r="AH151" s="86">
        <v>131.06727999999998</v>
      </c>
      <c r="AI151" s="86">
        <v>74.511219999999994</v>
      </c>
      <c r="AJ151" s="90">
        <v>56.590799999999994</v>
      </c>
      <c r="AK151" s="92">
        <v>56.590799999999994</v>
      </c>
      <c r="AL151" s="94">
        <v>0</v>
      </c>
      <c r="AM151" s="103">
        <v>0.1</v>
      </c>
      <c r="AN151" s="142"/>
      <c r="AO151" s="179"/>
      <c r="AP151" s="130">
        <v>393.37131999999997</v>
      </c>
      <c r="AQ151" s="127">
        <v>6.9511531909780393</v>
      </c>
      <c r="AR151" s="66"/>
    </row>
    <row r="152" spans="1:44">
      <c r="B152" s="132" t="s">
        <v>17</v>
      </c>
      <c r="C152" s="133">
        <f>C148+C149</f>
        <v>56.590799999999994</v>
      </c>
      <c r="D152" s="134">
        <f>D148+D149</f>
        <v>0</v>
      </c>
      <c r="E152" s="135">
        <f t="shared" ref="E152:H152" si="47">E148+E149</f>
        <v>0</v>
      </c>
      <c r="F152" s="136">
        <f t="shared" si="47"/>
        <v>0</v>
      </c>
      <c r="G152" s="137">
        <f t="shared" si="47"/>
        <v>0</v>
      </c>
      <c r="H152" s="138">
        <f t="shared" si="47"/>
        <v>0</v>
      </c>
      <c r="I152" s="139">
        <f>I148+I149</f>
        <v>0</v>
      </c>
      <c r="J152" s="140"/>
      <c r="K152" s="141"/>
      <c r="L152" s="130">
        <f>SUM(C152:I152)</f>
        <v>56.590799999999994</v>
      </c>
      <c r="M152" s="142"/>
      <c r="N152" s="66"/>
      <c r="O152" s="66"/>
      <c r="Q152" s="132" t="s">
        <v>17</v>
      </c>
      <c r="R152" s="133">
        <v>56.590799999999994</v>
      </c>
      <c r="S152" s="135">
        <v>0</v>
      </c>
      <c r="T152" s="135">
        <v>0</v>
      </c>
      <c r="U152" s="136">
        <v>0</v>
      </c>
      <c r="V152" s="137">
        <v>0</v>
      </c>
      <c r="W152" s="138">
        <v>0</v>
      </c>
      <c r="X152" s="139">
        <v>0</v>
      </c>
      <c r="Y152" s="220"/>
      <c r="Z152" s="209"/>
      <c r="AA152" s="130">
        <v>56.590799999999994</v>
      </c>
      <c r="AB152" s="142"/>
      <c r="AC152" s="66"/>
      <c r="AF152" s="132" t="s">
        <v>17</v>
      </c>
      <c r="AG152" s="133">
        <v>56.590799999999994</v>
      </c>
      <c r="AH152" s="135">
        <v>0</v>
      </c>
      <c r="AI152" s="135">
        <v>0</v>
      </c>
      <c r="AJ152" s="136">
        <v>0</v>
      </c>
      <c r="AK152" s="137">
        <v>0</v>
      </c>
      <c r="AL152" s="138">
        <v>0</v>
      </c>
      <c r="AM152" s="139">
        <v>0</v>
      </c>
      <c r="AN152" s="220"/>
      <c r="AO152" s="209"/>
      <c r="AP152" s="130">
        <v>56.590799999999994</v>
      </c>
      <c r="AQ152" s="142"/>
      <c r="AR152" s="66"/>
    </row>
    <row r="153" spans="1:44">
      <c r="A153" s="143"/>
      <c r="B153" s="26"/>
      <c r="C153" s="142">
        <f>C150-L141</f>
        <v>3.4739999999999327E-2</v>
      </c>
      <c r="D153" s="142">
        <f>D150-L142</f>
        <v>-3.4739999999999327E-2</v>
      </c>
      <c r="E153" s="142">
        <f>E150-L143</f>
        <v>0</v>
      </c>
      <c r="F153" s="142">
        <f>F150-L144</f>
        <v>0</v>
      </c>
      <c r="G153" s="142">
        <f>G150-L145</f>
        <v>0</v>
      </c>
      <c r="H153" s="142">
        <f>H150-L146</f>
        <v>0</v>
      </c>
      <c r="I153" s="142">
        <f>I150-L147</f>
        <v>0</v>
      </c>
      <c r="J153" s="44"/>
      <c r="K153" s="144"/>
      <c r="L153" s="145">
        <f>SUM(L141:L149)</f>
        <v>478.25751999999994</v>
      </c>
      <c r="M153" s="146">
        <f>SUM(M141:M147)</f>
        <v>365.07591999999994</v>
      </c>
      <c r="N153" s="147">
        <f>SUM(N141:N147)</f>
        <v>56.590799999999994</v>
      </c>
      <c r="O153" s="148">
        <f>M153+N153</f>
        <v>421.66671999999994</v>
      </c>
      <c r="Q153" s="26"/>
      <c r="R153" s="142">
        <v>3.4739999999999327E-2</v>
      </c>
      <c r="S153" s="142">
        <v>-3.4739999999999327E-2</v>
      </c>
      <c r="T153" s="142">
        <v>0</v>
      </c>
      <c r="U153" s="142">
        <v>0</v>
      </c>
      <c r="V153" s="142">
        <v>0</v>
      </c>
      <c r="W153" s="142"/>
      <c r="X153" s="142">
        <v>0</v>
      </c>
      <c r="Y153" s="44"/>
      <c r="Z153" s="144"/>
      <c r="AA153" s="145">
        <v>393.37131999999997</v>
      </c>
      <c r="AB153" s="146">
        <v>336.78051999999997</v>
      </c>
      <c r="AC153" s="147">
        <v>56.590799999999994</v>
      </c>
      <c r="AF153" s="26"/>
      <c r="AG153" s="179">
        <v>3.4739999999999327E-2</v>
      </c>
      <c r="AH153" s="179">
        <v>-3.4739999999999327E-2</v>
      </c>
      <c r="AI153" s="179">
        <v>0</v>
      </c>
      <c r="AJ153" s="179">
        <v>0</v>
      </c>
      <c r="AK153" s="179">
        <v>0</v>
      </c>
      <c r="AL153" s="179"/>
      <c r="AM153" s="179">
        <v>0</v>
      </c>
      <c r="AN153" s="44"/>
      <c r="AO153" s="144"/>
      <c r="AP153" s="145">
        <v>449.96211999999997</v>
      </c>
      <c r="AQ153" s="146">
        <v>393.37131999999997</v>
      </c>
      <c r="AR153" s="147">
        <v>56.590799999999994</v>
      </c>
    </row>
    <row r="154" spans="1:44">
      <c r="A154" s="143"/>
      <c r="B154" s="143"/>
      <c r="C154" s="143"/>
      <c r="D154" s="143"/>
      <c r="E154" s="149"/>
      <c r="F154" s="143"/>
      <c r="G154" s="143"/>
      <c r="H154" s="150"/>
      <c r="I154" s="151"/>
      <c r="J154" s="44"/>
      <c r="K154" s="144"/>
      <c r="L154" s="152">
        <f>L151+L152</f>
        <v>421.66671999999994</v>
      </c>
      <c r="M154" s="153" t="s">
        <v>15</v>
      </c>
      <c r="N154" s="66"/>
      <c r="O154" s="148">
        <f>SUM(C150:K150)</f>
        <v>478.25751999999994</v>
      </c>
      <c r="AA154" s="145">
        <v>449.96211999999997</v>
      </c>
      <c r="AB154" s="221">
        <v>449.96211999999997</v>
      </c>
      <c r="AP154" s="145">
        <v>506.55291999999997</v>
      </c>
      <c r="AQ154" s="221">
        <v>506.55291999999997</v>
      </c>
    </row>
    <row r="155" spans="1:44">
      <c r="A155" s="143"/>
      <c r="B155" s="143"/>
      <c r="C155" s="143"/>
      <c r="D155" s="143"/>
      <c r="E155" s="143"/>
      <c r="F155" s="143"/>
      <c r="G155" s="143"/>
      <c r="H155" s="149"/>
      <c r="I155" s="154"/>
      <c r="J155" s="149"/>
      <c r="K155" s="149"/>
      <c r="L155" s="155">
        <f>SUM(L141:L149)</f>
        <v>478.25751999999994</v>
      </c>
      <c r="M155" s="153">
        <f>M153/N153</f>
        <v>6.4511531909780384</v>
      </c>
      <c r="N155" s="66"/>
      <c r="O155" s="66"/>
      <c r="Y155" s="215" t="s">
        <v>29</v>
      </c>
      <c r="Z155" s="215"/>
      <c r="AA155" s="215">
        <v>3.0012930763497954</v>
      </c>
      <c r="AB155" s="215" t="s">
        <v>30</v>
      </c>
      <c r="AC155" s="215">
        <v>2.0012930763497954</v>
      </c>
      <c r="AN155" s="215" t="s">
        <v>29</v>
      </c>
      <c r="AO155" s="215"/>
      <c r="AP155" s="215">
        <v>3.4330621647141837</v>
      </c>
      <c r="AQ155" s="215" t="s">
        <v>30</v>
      </c>
      <c r="AR155" s="215">
        <v>2.4330621647141837</v>
      </c>
    </row>
    <row r="156" spans="1:44">
      <c r="H156" s="158" t="s">
        <v>18</v>
      </c>
      <c r="I156" s="158"/>
      <c r="K156" s="158"/>
      <c r="L156" s="159">
        <f>L154/L141</f>
        <v>3.2171776205319893</v>
      </c>
      <c r="M156" s="158" t="s">
        <v>19</v>
      </c>
      <c r="N156" s="159">
        <f>(L154-L141)/L141</f>
        <v>2.2171776205319893</v>
      </c>
    </row>
    <row r="158" spans="1:44">
      <c r="A158" s="187" t="s">
        <v>23</v>
      </c>
      <c r="P158" s="187" t="s">
        <v>24</v>
      </c>
      <c r="AE158" s="187" t="s">
        <v>25</v>
      </c>
    </row>
    <row r="159" spans="1:44">
      <c r="B159" s="222" t="s">
        <v>31</v>
      </c>
      <c r="C159" s="28"/>
      <c r="D159" s="28"/>
      <c r="E159" s="28"/>
      <c r="G159" s="29" t="s">
        <v>1</v>
      </c>
      <c r="H159" s="29"/>
      <c r="I159" s="30">
        <v>7</v>
      </c>
      <c r="J159" s="29" t="s">
        <v>2</v>
      </c>
      <c r="K159" s="29"/>
      <c r="L159" s="30">
        <v>10</v>
      </c>
      <c r="M159" s="31">
        <f>L159/I159</f>
        <v>1.4285714285714286</v>
      </c>
      <c r="N159" s="32"/>
      <c r="O159" s="33"/>
      <c r="Q159" s="222" t="s">
        <v>31</v>
      </c>
      <c r="AF159" s="222" t="s">
        <v>31</v>
      </c>
    </row>
    <row r="160" spans="1:44">
      <c r="B160" s="34" t="s">
        <v>3</v>
      </c>
      <c r="C160" s="34"/>
      <c r="D160" s="34"/>
      <c r="E160" s="35"/>
      <c r="F160" s="28"/>
      <c r="G160" s="28"/>
      <c r="H160" s="28"/>
      <c r="I160" s="29" t="s">
        <v>27</v>
      </c>
      <c r="J160" s="28"/>
      <c r="K160" s="28"/>
      <c r="L160" s="32"/>
      <c r="M160" s="32"/>
      <c r="N160" s="32"/>
      <c r="O160" s="33"/>
    </row>
    <row r="161" spans="1:44">
      <c r="B161" s="36" t="s">
        <v>4</v>
      </c>
      <c r="C161" s="37">
        <v>1</v>
      </c>
      <c r="D161" s="38">
        <v>2</v>
      </c>
      <c r="E161" s="39">
        <v>3</v>
      </c>
      <c r="F161" s="40">
        <v>4</v>
      </c>
      <c r="G161" s="41">
        <v>5</v>
      </c>
      <c r="H161" s="42">
        <v>6</v>
      </c>
      <c r="I161" s="43">
        <v>7</v>
      </c>
      <c r="J161" s="44">
        <v>8</v>
      </c>
      <c r="K161" s="45"/>
      <c r="L161" s="46"/>
      <c r="M161" s="46"/>
      <c r="O161" s="32"/>
      <c r="Q161" s="36" t="s">
        <v>4</v>
      </c>
      <c r="R161" s="37">
        <v>1</v>
      </c>
      <c r="S161" s="39">
        <v>2</v>
      </c>
      <c r="T161" s="39">
        <v>3</v>
      </c>
      <c r="U161" s="40">
        <v>4</v>
      </c>
      <c r="V161" s="41">
        <v>5</v>
      </c>
      <c r="W161" s="42">
        <v>6</v>
      </c>
      <c r="X161" s="43">
        <v>7</v>
      </c>
      <c r="Y161" s="44">
        <v>8</v>
      </c>
      <c r="Z161" s="28"/>
      <c r="AA161" s="28"/>
      <c r="AF161" s="36" t="s">
        <v>4</v>
      </c>
      <c r="AG161" s="37">
        <v>1</v>
      </c>
      <c r="AH161" s="39">
        <v>2</v>
      </c>
      <c r="AI161" s="39">
        <v>3</v>
      </c>
      <c r="AJ161" s="40">
        <v>4</v>
      </c>
      <c r="AK161" s="41">
        <v>5</v>
      </c>
      <c r="AL161" s="42">
        <v>6</v>
      </c>
      <c r="AM161" s="43">
        <v>7</v>
      </c>
      <c r="AN161" s="44">
        <v>8</v>
      </c>
      <c r="AO161" s="28"/>
      <c r="AP161" s="28"/>
    </row>
    <row r="162" spans="1:44">
      <c r="A162" s="47" t="s">
        <v>5</v>
      </c>
      <c r="C162" s="37" t="s">
        <v>6</v>
      </c>
      <c r="D162" s="48" t="s">
        <v>59</v>
      </c>
      <c r="E162" s="49" t="s">
        <v>58</v>
      </c>
      <c r="F162" s="40" t="s">
        <v>7</v>
      </c>
      <c r="G162" s="50" t="s">
        <v>8</v>
      </c>
      <c r="H162" s="51" t="s">
        <v>9</v>
      </c>
      <c r="I162" s="43" t="s">
        <v>60</v>
      </c>
      <c r="J162" s="52" t="s">
        <v>10</v>
      </c>
      <c r="K162" s="53"/>
      <c r="L162" s="160" t="s">
        <v>11</v>
      </c>
      <c r="M162" s="161" t="s">
        <v>12</v>
      </c>
      <c r="N162" s="161" t="s">
        <v>13</v>
      </c>
      <c r="O162" s="28"/>
      <c r="R162" s="37" t="s">
        <v>6</v>
      </c>
      <c r="S162" s="48" t="s">
        <v>59</v>
      </c>
      <c r="T162" s="49" t="s">
        <v>58</v>
      </c>
      <c r="U162" s="40" t="s">
        <v>7</v>
      </c>
      <c r="V162" s="50" t="s">
        <v>8</v>
      </c>
      <c r="W162" s="51" t="s">
        <v>9</v>
      </c>
      <c r="X162" s="43" t="s">
        <v>28</v>
      </c>
      <c r="Y162" s="52" t="s">
        <v>10</v>
      </c>
      <c r="Z162" s="180"/>
      <c r="AA162" s="54" t="s">
        <v>11</v>
      </c>
      <c r="AB162" s="55" t="s">
        <v>12</v>
      </c>
      <c r="AC162" s="189" t="s">
        <v>13</v>
      </c>
      <c r="AG162" s="37" t="s">
        <v>6</v>
      </c>
      <c r="AH162" s="48" t="s">
        <v>59</v>
      </c>
      <c r="AI162" s="49" t="s">
        <v>58</v>
      </c>
      <c r="AJ162" s="40" t="s">
        <v>7</v>
      </c>
      <c r="AK162" s="50" t="s">
        <v>8</v>
      </c>
      <c r="AL162" s="51" t="s">
        <v>9</v>
      </c>
      <c r="AM162" s="43" t="s">
        <v>28</v>
      </c>
      <c r="AN162" s="52" t="s">
        <v>10</v>
      </c>
      <c r="AO162" s="180"/>
      <c r="AP162" s="54" t="s">
        <v>11</v>
      </c>
      <c r="AQ162" s="55" t="s">
        <v>12</v>
      </c>
      <c r="AR162" s="189" t="s">
        <v>13</v>
      </c>
    </row>
    <row r="163" spans="1:44">
      <c r="A163" s="37">
        <v>1</v>
      </c>
      <c r="B163" s="37" t="s">
        <v>6</v>
      </c>
      <c r="C163" s="56"/>
      <c r="D163" s="57">
        <v>130.96727999999999</v>
      </c>
      <c r="E163" s="58"/>
      <c r="F163" s="59"/>
      <c r="G163" s="60"/>
      <c r="H163" s="61"/>
      <c r="I163" s="62">
        <v>11.3</v>
      </c>
      <c r="J163" s="171"/>
      <c r="K163" s="53"/>
      <c r="L163" s="64">
        <f t="shared" ref="L163:L170" si="48">SUM(C163:K163)</f>
        <v>142.26728</v>
      </c>
      <c r="M163" s="65">
        <f t="shared" ref="M163:M169" si="49">SUM(C163:I163)</f>
        <v>142.26728</v>
      </c>
      <c r="N163" s="65">
        <f>SUM(J163:K163)</f>
        <v>0</v>
      </c>
      <c r="O163" s="66"/>
      <c r="Q163" s="37" t="s">
        <v>6</v>
      </c>
      <c r="R163" s="190"/>
      <c r="S163" s="191">
        <v>130.96727999999999</v>
      </c>
      <c r="T163" s="192"/>
      <c r="U163" s="193"/>
      <c r="V163" s="194"/>
      <c r="W163" s="195"/>
      <c r="X163" s="196">
        <v>11.3</v>
      </c>
      <c r="Y163" s="171"/>
      <c r="Z163" s="171"/>
      <c r="AA163" s="64">
        <v>142.26728</v>
      </c>
      <c r="AB163" s="65">
        <v>142.26728</v>
      </c>
      <c r="AC163" s="197">
        <v>0</v>
      </c>
      <c r="AF163" s="37" t="s">
        <v>6</v>
      </c>
      <c r="AG163" s="190"/>
      <c r="AH163" s="191">
        <v>130.96727999999999</v>
      </c>
      <c r="AI163" s="192"/>
      <c r="AJ163" s="193"/>
      <c r="AK163" s="194"/>
      <c r="AL163" s="195"/>
      <c r="AM163" s="196">
        <v>11.3</v>
      </c>
      <c r="AN163" s="171"/>
      <c r="AO163" s="171"/>
      <c r="AP163" s="64">
        <v>142.26728</v>
      </c>
      <c r="AQ163" s="65">
        <v>142.26728</v>
      </c>
      <c r="AR163" s="197">
        <v>0</v>
      </c>
    </row>
    <row r="164" spans="1:44">
      <c r="A164" s="38">
        <v>2</v>
      </c>
      <c r="B164" s="38" t="s">
        <v>59</v>
      </c>
      <c r="C164" s="69"/>
      <c r="D164" s="70"/>
      <c r="E164" s="71">
        <v>85.694640000000021</v>
      </c>
      <c r="F164" s="72">
        <v>28.295399999999997</v>
      </c>
      <c r="G164" s="73">
        <v>28.295399999999997</v>
      </c>
      <c r="H164" s="74"/>
      <c r="I164" s="75"/>
      <c r="J164" s="171"/>
      <c r="K164" s="53"/>
      <c r="L164" s="77">
        <f t="shared" si="48"/>
        <v>142.28544000000002</v>
      </c>
      <c r="M164" s="78">
        <f t="shared" si="49"/>
        <v>142.28544000000002</v>
      </c>
      <c r="N164" s="78">
        <f>SUM(J164:K164)</f>
        <v>0</v>
      </c>
      <c r="O164" s="66"/>
      <c r="Q164" s="48" t="s">
        <v>59</v>
      </c>
      <c r="R164" s="198"/>
      <c r="S164" s="199"/>
      <c r="T164" s="175">
        <v>85.694640000000021</v>
      </c>
      <c r="U164" s="176"/>
      <c r="V164" s="177">
        <v>56.590799999999994</v>
      </c>
      <c r="W164" s="178"/>
      <c r="X164" s="200"/>
      <c r="Y164" s="171"/>
      <c r="Z164" s="171"/>
      <c r="AA164" s="77">
        <v>142.28544000000002</v>
      </c>
      <c r="AB164" s="86">
        <v>142.28544000000002</v>
      </c>
      <c r="AC164" s="201">
        <v>0</v>
      </c>
      <c r="AF164" s="48" t="s">
        <v>59</v>
      </c>
      <c r="AG164" s="198"/>
      <c r="AH164" s="199"/>
      <c r="AI164" s="175">
        <v>85.694640000000021</v>
      </c>
      <c r="AJ164" s="176">
        <v>56.590799999999994</v>
      </c>
      <c r="AK164" s="177"/>
      <c r="AL164" s="178"/>
      <c r="AM164" s="200"/>
      <c r="AN164" s="171"/>
      <c r="AO164" s="171"/>
      <c r="AP164" s="77">
        <v>142.28544000000002</v>
      </c>
      <c r="AQ164" s="86">
        <v>142.28544000000002</v>
      </c>
      <c r="AR164" s="201">
        <v>0</v>
      </c>
    </row>
    <row r="165" spans="1:44">
      <c r="A165" s="39">
        <v>3</v>
      </c>
      <c r="B165" s="49" t="s">
        <v>58</v>
      </c>
      <c r="C165" s="69">
        <v>85.694640000000021</v>
      </c>
      <c r="D165" s="79"/>
      <c r="E165" s="80"/>
      <c r="F165" s="81"/>
      <c r="G165" s="82"/>
      <c r="H165" s="83"/>
      <c r="I165" s="84"/>
      <c r="J165" s="171"/>
      <c r="K165" s="53"/>
      <c r="L165" s="85">
        <f t="shared" si="48"/>
        <v>85.694640000000021</v>
      </c>
      <c r="M165" s="86">
        <f t="shared" si="49"/>
        <v>85.694640000000021</v>
      </c>
      <c r="N165" s="86">
        <f t="shared" ref="N165:N169" si="50">SUM(J165:K165)</f>
        <v>0</v>
      </c>
      <c r="O165" s="66"/>
      <c r="Q165" s="49" t="s">
        <v>58</v>
      </c>
      <c r="R165" s="198">
        <v>85.694640000000021</v>
      </c>
      <c r="S165" s="199"/>
      <c r="T165" s="175"/>
      <c r="U165" s="176"/>
      <c r="V165" s="177"/>
      <c r="W165" s="178"/>
      <c r="X165" s="202"/>
      <c r="Y165" s="171"/>
      <c r="Z165" s="171"/>
      <c r="AA165" s="85">
        <v>85.694640000000021</v>
      </c>
      <c r="AB165" s="86">
        <v>85.694640000000021</v>
      </c>
      <c r="AC165" s="201">
        <v>0</v>
      </c>
      <c r="AF165" s="49" t="s">
        <v>58</v>
      </c>
      <c r="AG165" s="198">
        <v>85.694640000000021</v>
      </c>
      <c r="AH165" s="199"/>
      <c r="AI165" s="175"/>
      <c r="AJ165" s="176"/>
      <c r="AK165" s="177"/>
      <c r="AL165" s="178"/>
      <c r="AM165" s="202"/>
      <c r="AN165" s="171"/>
      <c r="AO165" s="171"/>
      <c r="AP165" s="85">
        <v>85.694640000000021</v>
      </c>
      <c r="AQ165" s="86">
        <v>85.694640000000021</v>
      </c>
      <c r="AR165" s="201">
        <v>0</v>
      </c>
    </row>
    <row r="166" spans="1:44">
      <c r="A166" s="40">
        <v>4</v>
      </c>
      <c r="B166" s="40" t="s">
        <v>7</v>
      </c>
      <c r="C166" s="87"/>
      <c r="D166" s="79"/>
      <c r="E166" s="71"/>
      <c r="F166" s="81"/>
      <c r="G166" s="73">
        <v>28.295399999999997</v>
      </c>
      <c r="H166" s="74"/>
      <c r="I166" s="84"/>
      <c r="J166" s="172"/>
      <c r="K166" s="53"/>
      <c r="L166" s="89">
        <f t="shared" si="48"/>
        <v>28.295399999999997</v>
      </c>
      <c r="M166" s="90">
        <f t="shared" si="49"/>
        <v>28.295399999999997</v>
      </c>
      <c r="N166" s="90">
        <f t="shared" si="50"/>
        <v>0</v>
      </c>
      <c r="O166" s="66"/>
      <c r="Q166" s="40" t="s">
        <v>7</v>
      </c>
      <c r="R166" s="198"/>
      <c r="S166" s="199"/>
      <c r="T166" s="175"/>
      <c r="U166" s="176"/>
      <c r="V166" s="177"/>
      <c r="W166" s="178"/>
      <c r="X166" s="202"/>
      <c r="Y166" s="172"/>
      <c r="Z166" s="171"/>
      <c r="AA166" s="89">
        <v>0</v>
      </c>
      <c r="AB166" s="90">
        <v>0</v>
      </c>
      <c r="AC166" s="203">
        <v>0</v>
      </c>
      <c r="AF166" s="40" t="s">
        <v>7</v>
      </c>
      <c r="AG166" s="198"/>
      <c r="AH166" s="199"/>
      <c r="AI166" s="175"/>
      <c r="AJ166" s="176"/>
      <c r="AK166" s="177">
        <v>56.590799999999994</v>
      </c>
      <c r="AL166" s="178"/>
      <c r="AM166" s="202"/>
      <c r="AN166" s="172"/>
      <c r="AO166" s="171"/>
      <c r="AP166" s="89">
        <v>56.590799999999994</v>
      </c>
      <c r="AQ166" s="90">
        <v>56.590799999999994</v>
      </c>
      <c r="AR166" s="203">
        <v>0</v>
      </c>
    </row>
    <row r="167" spans="1:44">
      <c r="A167" s="41">
        <v>5</v>
      </c>
      <c r="B167" s="50" t="s">
        <v>8</v>
      </c>
      <c r="C167" s="69"/>
      <c r="D167" s="79"/>
      <c r="E167" s="71"/>
      <c r="F167" s="72"/>
      <c r="G167" s="82"/>
      <c r="H167" s="74"/>
      <c r="I167" s="75"/>
      <c r="J167" s="172">
        <v>56.590799999999994</v>
      </c>
      <c r="K167" s="53"/>
      <c r="L167" s="91">
        <f t="shared" si="48"/>
        <v>56.590799999999994</v>
      </c>
      <c r="M167" s="92">
        <f t="shared" si="49"/>
        <v>0</v>
      </c>
      <c r="N167" s="92">
        <f t="shared" si="50"/>
        <v>56.590799999999994</v>
      </c>
      <c r="O167" s="66"/>
      <c r="Q167" s="50" t="s">
        <v>8</v>
      </c>
      <c r="R167" s="198"/>
      <c r="S167" s="199"/>
      <c r="T167" s="175"/>
      <c r="U167" s="176"/>
      <c r="V167" s="177"/>
      <c r="W167" s="178"/>
      <c r="X167" s="200"/>
      <c r="Y167" s="172">
        <v>56.590799999999994</v>
      </c>
      <c r="Z167" s="171"/>
      <c r="AA167" s="91">
        <v>56.590799999999994</v>
      </c>
      <c r="AB167" s="92">
        <v>0</v>
      </c>
      <c r="AC167" s="204">
        <v>56.590799999999994</v>
      </c>
      <c r="AF167" s="50" t="s">
        <v>8</v>
      </c>
      <c r="AG167" s="198"/>
      <c r="AH167" s="199"/>
      <c r="AI167" s="175"/>
      <c r="AJ167" s="176"/>
      <c r="AK167" s="177"/>
      <c r="AL167" s="178"/>
      <c r="AM167" s="200"/>
      <c r="AN167" s="172">
        <v>56.590799999999994</v>
      </c>
      <c r="AO167" s="171"/>
      <c r="AP167" s="91">
        <v>56.590799999999994</v>
      </c>
      <c r="AQ167" s="92">
        <v>0</v>
      </c>
      <c r="AR167" s="204">
        <v>56.590799999999994</v>
      </c>
    </row>
    <row r="168" spans="1:44">
      <c r="A168" s="42">
        <v>6</v>
      </c>
      <c r="B168" s="51" t="s">
        <v>9</v>
      </c>
      <c r="C168" s="69"/>
      <c r="D168" s="79"/>
      <c r="E168" s="80"/>
      <c r="F168" s="72"/>
      <c r="G168" s="73"/>
      <c r="H168" s="83"/>
      <c r="I168" s="84"/>
      <c r="J168" s="172"/>
      <c r="K168" s="53"/>
      <c r="L168" s="93">
        <f t="shared" si="48"/>
        <v>0</v>
      </c>
      <c r="M168" s="94">
        <f t="shared" si="49"/>
        <v>0</v>
      </c>
      <c r="N168" s="94">
        <f t="shared" si="50"/>
        <v>0</v>
      </c>
      <c r="O168" s="66"/>
      <c r="Q168" s="51" t="s">
        <v>9</v>
      </c>
      <c r="R168" s="198"/>
      <c r="S168" s="199"/>
      <c r="T168" s="175"/>
      <c r="U168" s="176"/>
      <c r="V168" s="177"/>
      <c r="W168" s="178"/>
      <c r="X168" s="202"/>
      <c r="Y168" s="172"/>
      <c r="Z168" s="171"/>
      <c r="AA168" s="93">
        <v>0</v>
      </c>
      <c r="AB168" s="94">
        <v>0</v>
      </c>
      <c r="AC168" s="205">
        <v>0</v>
      </c>
      <c r="AF168" s="51" t="s">
        <v>9</v>
      </c>
      <c r="AG168" s="198"/>
      <c r="AH168" s="199"/>
      <c r="AI168" s="175"/>
      <c r="AJ168" s="176"/>
      <c r="AK168" s="177"/>
      <c r="AL168" s="178"/>
      <c r="AM168" s="202"/>
      <c r="AN168" s="172"/>
      <c r="AO168" s="171"/>
      <c r="AP168" s="93">
        <v>0</v>
      </c>
      <c r="AQ168" s="94">
        <v>0</v>
      </c>
      <c r="AR168" s="205">
        <v>0</v>
      </c>
    </row>
    <row r="169" spans="1:44">
      <c r="A169" s="43">
        <v>7</v>
      </c>
      <c r="B169" s="43" t="s">
        <v>60</v>
      </c>
      <c r="C169" s="95"/>
      <c r="D169" s="96">
        <v>11.3</v>
      </c>
      <c r="E169" s="97"/>
      <c r="F169" s="98"/>
      <c r="G169" s="99"/>
      <c r="H169" s="100"/>
      <c r="I169" s="101"/>
      <c r="J169" s="171"/>
      <c r="K169" s="53"/>
      <c r="L169" s="102">
        <f t="shared" si="48"/>
        <v>11.3</v>
      </c>
      <c r="M169" s="103">
        <f t="shared" si="49"/>
        <v>11.3</v>
      </c>
      <c r="N169" s="103">
        <f t="shared" si="50"/>
        <v>0</v>
      </c>
      <c r="O169" s="66"/>
      <c r="Q169" s="43" t="s">
        <v>28</v>
      </c>
      <c r="R169" s="206"/>
      <c r="S169" s="207">
        <v>11.3</v>
      </c>
      <c r="T169" s="208"/>
      <c r="U169" s="209"/>
      <c r="V169" s="210"/>
      <c r="W169" s="211"/>
      <c r="X169" s="212"/>
      <c r="Y169" s="171"/>
      <c r="Z169" s="171"/>
      <c r="AA169" s="102">
        <v>11.3</v>
      </c>
      <c r="AB169" s="103">
        <v>11.3</v>
      </c>
      <c r="AC169" s="213">
        <v>0</v>
      </c>
      <c r="AF169" s="43" t="s">
        <v>28</v>
      </c>
      <c r="AG169" s="206"/>
      <c r="AH169" s="207">
        <v>11.3</v>
      </c>
      <c r="AI169" s="208"/>
      <c r="AJ169" s="209"/>
      <c r="AK169" s="210"/>
      <c r="AL169" s="211"/>
      <c r="AM169" s="212"/>
      <c r="AN169" s="171"/>
      <c r="AO169" s="171"/>
      <c r="AP169" s="102">
        <v>11.3</v>
      </c>
      <c r="AQ169" s="103">
        <v>11.3</v>
      </c>
      <c r="AR169" s="213">
        <v>0</v>
      </c>
    </row>
    <row r="170" spans="1:44">
      <c r="A170" s="44">
        <v>8</v>
      </c>
      <c r="B170" s="52" t="s">
        <v>10</v>
      </c>
      <c r="C170" s="173">
        <v>56.590799999999994</v>
      </c>
      <c r="D170" s="174"/>
      <c r="E170" s="175"/>
      <c r="F170" s="176"/>
      <c r="G170" s="177"/>
      <c r="H170" s="178"/>
      <c r="I170" s="179"/>
      <c r="J170" s="171"/>
      <c r="K170" s="53"/>
      <c r="L170" s="102">
        <f t="shared" si="48"/>
        <v>56.590799999999994</v>
      </c>
      <c r="M170" s="106"/>
      <c r="N170" s="66"/>
      <c r="O170" s="66"/>
      <c r="Q170" s="52" t="s">
        <v>10</v>
      </c>
      <c r="R170" s="173">
        <v>56.590799999999994</v>
      </c>
      <c r="S170" s="174"/>
      <c r="T170" s="175"/>
      <c r="U170" s="176"/>
      <c r="V170" s="177"/>
      <c r="W170" s="178"/>
      <c r="X170" s="179"/>
      <c r="Y170" s="171"/>
      <c r="Z170" s="171"/>
      <c r="AA170" s="102">
        <v>56.590799999999994</v>
      </c>
      <c r="AB170" s="106"/>
      <c r="AC170" s="214"/>
      <c r="AF170" s="52" t="s">
        <v>10</v>
      </c>
      <c r="AG170" s="173">
        <v>56.590799999999994</v>
      </c>
      <c r="AH170" s="174"/>
      <c r="AI170" s="175"/>
      <c r="AJ170" s="176"/>
      <c r="AK170" s="177"/>
      <c r="AL170" s="178"/>
      <c r="AM170" s="179"/>
      <c r="AN170" s="171"/>
      <c r="AO170" s="171"/>
      <c r="AP170" s="102">
        <v>56.590799999999994</v>
      </c>
      <c r="AQ170" s="106"/>
      <c r="AR170" s="214"/>
    </row>
    <row r="171" spans="1:44">
      <c r="A171" s="45"/>
      <c r="B171" s="107"/>
      <c r="C171" s="107"/>
      <c r="D171" s="108"/>
      <c r="E171" s="109"/>
      <c r="F171" s="110"/>
      <c r="G171" s="111"/>
      <c r="H171" s="112"/>
      <c r="I171" s="112"/>
      <c r="J171" s="112"/>
      <c r="K171" s="53"/>
      <c r="L171" s="102"/>
      <c r="M171" s="113"/>
      <c r="N171" s="114"/>
      <c r="O171" s="115"/>
      <c r="Q171" s="180"/>
      <c r="R171" s="199"/>
      <c r="S171" s="199"/>
      <c r="T171" s="175"/>
      <c r="U171" s="215"/>
      <c r="V171" s="177"/>
      <c r="W171" s="178"/>
      <c r="X171" s="215"/>
      <c r="Y171" s="216"/>
      <c r="Z171" s="217"/>
      <c r="AA171" s="102"/>
      <c r="AB171" s="113"/>
      <c r="AC171" s="218"/>
      <c r="AF171" s="180"/>
      <c r="AG171" s="199"/>
      <c r="AH171" s="199"/>
      <c r="AI171" s="175"/>
      <c r="AJ171" s="215"/>
      <c r="AK171" s="177"/>
      <c r="AL171" s="178"/>
      <c r="AM171" s="215"/>
      <c r="AN171" s="216"/>
      <c r="AO171" s="217"/>
      <c r="AP171" s="102"/>
      <c r="AQ171" s="113"/>
      <c r="AR171" s="218"/>
    </row>
    <row r="172" spans="1:44">
      <c r="B172" s="116" t="s">
        <v>14</v>
      </c>
      <c r="C172" s="117">
        <f t="shared" ref="C172" si="51">SUM(C163:C171)</f>
        <v>142.28544000000002</v>
      </c>
      <c r="D172" s="118">
        <f t="shared" ref="D172:G172" si="52">SUM(D163:D171)</f>
        <v>142.26728</v>
      </c>
      <c r="E172" s="119">
        <f t="shared" si="52"/>
        <v>85.694640000000021</v>
      </c>
      <c r="F172" s="120">
        <f t="shared" si="52"/>
        <v>28.295399999999997</v>
      </c>
      <c r="G172" s="121">
        <f t="shared" si="52"/>
        <v>56.590799999999994</v>
      </c>
      <c r="H172" s="122">
        <f>SUM(H163:H171)</f>
        <v>0</v>
      </c>
      <c r="I172" s="219">
        <f>SUM(I163:I171)</f>
        <v>11.3</v>
      </c>
      <c r="J172" s="124">
        <f t="shared" ref="J172" si="53">SUM(J163:J171)</f>
        <v>56.590799999999994</v>
      </c>
      <c r="K172" s="125"/>
      <c r="L172" s="126">
        <f>SUM(C172:I172)</f>
        <v>466.43356000000006</v>
      </c>
      <c r="M172" s="127" t="s">
        <v>15</v>
      </c>
      <c r="N172" s="128"/>
      <c r="Q172" s="116" t="s">
        <v>14</v>
      </c>
      <c r="R172" s="117">
        <v>142.28544000000002</v>
      </c>
      <c r="S172" s="118">
        <v>142.26728</v>
      </c>
      <c r="T172" s="119">
        <v>85.694640000000021</v>
      </c>
      <c r="U172" s="120">
        <v>0</v>
      </c>
      <c r="V172" s="121">
        <v>56.590799999999994</v>
      </c>
      <c r="W172" s="122">
        <v>0</v>
      </c>
      <c r="X172" s="219">
        <v>11.3</v>
      </c>
      <c r="Y172" s="124">
        <v>56.590799999999994</v>
      </c>
      <c r="Z172" s="125">
        <v>0</v>
      </c>
      <c r="AA172" s="126">
        <v>438.13816000000008</v>
      </c>
      <c r="AB172" s="127" t="s">
        <v>15</v>
      </c>
      <c r="AC172" s="128"/>
      <c r="AF172" s="116" t="s">
        <v>14</v>
      </c>
      <c r="AG172" s="117">
        <v>142.28544000000002</v>
      </c>
      <c r="AH172" s="118">
        <v>142.26728</v>
      </c>
      <c r="AI172" s="119">
        <v>85.694640000000021</v>
      </c>
      <c r="AJ172" s="120">
        <v>56.590799999999994</v>
      </c>
      <c r="AK172" s="121">
        <v>56.590799999999994</v>
      </c>
      <c r="AL172" s="122">
        <v>0</v>
      </c>
      <c r="AM172" s="219">
        <v>11.3</v>
      </c>
      <c r="AN172" s="124">
        <v>56.590799999999994</v>
      </c>
      <c r="AO172" s="125"/>
      <c r="AP172" s="126">
        <v>494.72896000000009</v>
      </c>
      <c r="AQ172" s="127" t="s">
        <v>15</v>
      </c>
      <c r="AR172" s="128"/>
    </row>
    <row r="173" spans="1:44">
      <c r="B173" s="129" t="s">
        <v>16</v>
      </c>
      <c r="C173" s="65">
        <f t="shared" ref="C173:I173" si="54">SUM(C163:C169)</f>
        <v>85.694640000000021</v>
      </c>
      <c r="D173" s="78">
        <f t="shared" si="54"/>
        <v>142.26728</v>
      </c>
      <c r="E173" s="86">
        <f t="shared" si="54"/>
        <v>85.694640000000021</v>
      </c>
      <c r="F173" s="90">
        <f t="shared" si="54"/>
        <v>28.295399999999997</v>
      </c>
      <c r="G173" s="92">
        <f t="shared" si="54"/>
        <v>56.590799999999994</v>
      </c>
      <c r="H173" s="94">
        <f t="shared" si="54"/>
        <v>0</v>
      </c>
      <c r="I173" s="103">
        <f t="shared" si="54"/>
        <v>11.3</v>
      </c>
      <c r="K173" s="26"/>
      <c r="L173" s="130">
        <f>SUM(C173:I173)</f>
        <v>409.84276</v>
      </c>
      <c r="M173" s="127">
        <f>L173/L174</f>
        <v>7.242215342423151</v>
      </c>
      <c r="N173" s="66"/>
      <c r="O173" s="131"/>
      <c r="Q173" s="129" t="s">
        <v>16</v>
      </c>
      <c r="R173" s="65">
        <v>85.694640000000021</v>
      </c>
      <c r="S173" s="86">
        <v>142.26728</v>
      </c>
      <c r="T173" s="86">
        <v>85.694640000000021</v>
      </c>
      <c r="U173" s="90">
        <v>0</v>
      </c>
      <c r="V173" s="92">
        <v>56.590799999999994</v>
      </c>
      <c r="W173" s="94">
        <v>0</v>
      </c>
      <c r="X173" s="103">
        <v>11.3</v>
      </c>
      <c r="Y173" s="142"/>
      <c r="Z173" s="179"/>
      <c r="AA173" s="130">
        <v>381.54736000000003</v>
      </c>
      <c r="AB173" s="127">
        <v>6.742215342423151</v>
      </c>
      <c r="AC173" s="66"/>
      <c r="AF173" s="129" t="s">
        <v>16</v>
      </c>
      <c r="AG173" s="65">
        <v>85.694640000000021</v>
      </c>
      <c r="AH173" s="86">
        <v>142.26728</v>
      </c>
      <c r="AI173" s="86">
        <v>85.694640000000021</v>
      </c>
      <c r="AJ173" s="90">
        <v>56.590799999999994</v>
      </c>
      <c r="AK173" s="92">
        <v>56.590799999999994</v>
      </c>
      <c r="AL173" s="94">
        <v>0</v>
      </c>
      <c r="AM173" s="103">
        <v>11.3</v>
      </c>
      <c r="AN173" s="142"/>
      <c r="AO173" s="179"/>
      <c r="AP173" s="130">
        <v>438.13816000000003</v>
      </c>
      <c r="AQ173" s="127">
        <v>7.742215342423151</v>
      </c>
      <c r="AR173" s="66"/>
    </row>
    <row r="174" spans="1:44">
      <c r="B174" s="132" t="s">
        <v>17</v>
      </c>
      <c r="C174" s="133">
        <f>C170+C171</f>
        <v>56.590799999999994</v>
      </c>
      <c r="D174" s="134">
        <f>D170+D171</f>
        <v>0</v>
      </c>
      <c r="E174" s="135">
        <f t="shared" ref="E174:H174" si="55">E170+E171</f>
        <v>0</v>
      </c>
      <c r="F174" s="136">
        <f t="shared" si="55"/>
        <v>0</v>
      </c>
      <c r="G174" s="137">
        <f t="shared" si="55"/>
        <v>0</v>
      </c>
      <c r="H174" s="138">
        <f t="shared" si="55"/>
        <v>0</v>
      </c>
      <c r="I174" s="139">
        <f>I170+I171</f>
        <v>0</v>
      </c>
      <c r="J174" s="140"/>
      <c r="K174" s="141"/>
      <c r="L174" s="130">
        <f>SUM(C174:I174)</f>
        <v>56.590799999999994</v>
      </c>
      <c r="M174" s="142"/>
      <c r="N174" s="66"/>
      <c r="O174" s="66"/>
      <c r="Q174" s="132" t="s">
        <v>17</v>
      </c>
      <c r="R174" s="133">
        <v>56.590799999999994</v>
      </c>
      <c r="S174" s="135">
        <v>0</v>
      </c>
      <c r="T174" s="135">
        <v>0</v>
      </c>
      <c r="U174" s="136">
        <v>0</v>
      </c>
      <c r="V174" s="137">
        <v>0</v>
      </c>
      <c r="W174" s="138">
        <v>0</v>
      </c>
      <c r="X174" s="139">
        <v>0</v>
      </c>
      <c r="Y174" s="220"/>
      <c r="Z174" s="209"/>
      <c r="AA174" s="130">
        <v>56.590799999999994</v>
      </c>
      <c r="AB174" s="142"/>
      <c r="AC174" s="66"/>
      <c r="AF174" s="132" t="s">
        <v>17</v>
      </c>
      <c r="AG174" s="133">
        <v>56.590799999999994</v>
      </c>
      <c r="AH174" s="135">
        <v>0</v>
      </c>
      <c r="AI174" s="135">
        <v>0</v>
      </c>
      <c r="AJ174" s="136">
        <v>0</v>
      </c>
      <c r="AK174" s="137">
        <v>0</v>
      </c>
      <c r="AL174" s="138">
        <v>0</v>
      </c>
      <c r="AM174" s="139">
        <v>0</v>
      </c>
      <c r="AN174" s="220"/>
      <c r="AO174" s="209"/>
      <c r="AP174" s="130">
        <v>56.590799999999994</v>
      </c>
      <c r="AQ174" s="142"/>
      <c r="AR174" s="66"/>
    </row>
    <row r="175" spans="1:44">
      <c r="A175" s="143"/>
      <c r="B175" s="26"/>
      <c r="C175" s="142">
        <f>C172-L163</f>
        <v>1.8160000000023047E-2</v>
      </c>
      <c r="D175" s="142">
        <f>D172-L164</f>
        <v>-1.8160000000023047E-2</v>
      </c>
      <c r="E175" s="142">
        <f>E172-L165</f>
        <v>0</v>
      </c>
      <c r="F175" s="142">
        <f>F172-L166</f>
        <v>0</v>
      </c>
      <c r="G175" s="142">
        <f>G172-L167</f>
        <v>0</v>
      </c>
      <c r="H175" s="142">
        <f>H172-L168</f>
        <v>0</v>
      </c>
      <c r="I175" s="142">
        <f>I172-L169</f>
        <v>0</v>
      </c>
      <c r="J175" s="44"/>
      <c r="K175" s="144"/>
      <c r="L175" s="145">
        <f>SUM(L163:L171)</f>
        <v>523.02436</v>
      </c>
      <c r="M175" s="146">
        <f>SUM(M163:M169)</f>
        <v>409.84276000000006</v>
      </c>
      <c r="N175" s="147">
        <f>SUM(N163:N169)</f>
        <v>56.590799999999994</v>
      </c>
      <c r="O175" s="148">
        <f>M175+N175</f>
        <v>466.43356000000006</v>
      </c>
      <c r="Q175" s="26"/>
      <c r="R175" s="142">
        <v>1.8160000000023047E-2</v>
      </c>
      <c r="S175" s="142">
        <v>-1.8160000000023047E-2</v>
      </c>
      <c r="T175" s="142">
        <v>0</v>
      </c>
      <c r="U175" s="142">
        <v>0</v>
      </c>
      <c r="V175" s="142">
        <v>0</v>
      </c>
      <c r="W175" s="142"/>
      <c r="X175" s="142">
        <v>0</v>
      </c>
      <c r="Y175" s="44"/>
      <c r="Z175" s="144"/>
      <c r="AA175" s="145">
        <v>438.13816000000008</v>
      </c>
      <c r="AB175" s="146">
        <v>381.54736000000008</v>
      </c>
      <c r="AC175" s="147">
        <v>56.590799999999994</v>
      </c>
      <c r="AF175" s="26"/>
      <c r="AG175" s="179">
        <v>1.8160000000023047E-2</v>
      </c>
      <c r="AH175" s="179">
        <v>-1.8160000000023047E-2</v>
      </c>
      <c r="AI175" s="179">
        <v>0</v>
      </c>
      <c r="AJ175" s="179">
        <v>0</v>
      </c>
      <c r="AK175" s="179">
        <v>0</v>
      </c>
      <c r="AL175" s="179"/>
      <c r="AM175" s="179">
        <v>0</v>
      </c>
      <c r="AN175" s="44"/>
      <c r="AO175" s="144"/>
      <c r="AP175" s="145">
        <v>494.72896000000009</v>
      </c>
      <c r="AQ175" s="146">
        <v>438.13816000000008</v>
      </c>
      <c r="AR175" s="147">
        <v>56.590799999999994</v>
      </c>
    </row>
    <row r="176" spans="1:44">
      <c r="A176" s="143"/>
      <c r="B176" s="143"/>
      <c r="C176" s="143"/>
      <c r="D176" s="143"/>
      <c r="E176" s="149"/>
      <c r="F176" s="143"/>
      <c r="G176" s="143"/>
      <c r="H176" s="150"/>
      <c r="I176" s="151"/>
      <c r="J176" s="44"/>
      <c r="K176" s="144"/>
      <c r="L176" s="152">
        <f>L173+L174</f>
        <v>466.43356</v>
      </c>
      <c r="M176" s="153" t="s">
        <v>15</v>
      </c>
      <c r="N176" s="66"/>
      <c r="O176" s="148">
        <f>SUM(C172:K172)</f>
        <v>523.02436</v>
      </c>
      <c r="AA176" s="145">
        <v>494.72896000000009</v>
      </c>
      <c r="AB176" s="221">
        <v>494.72896000000009</v>
      </c>
      <c r="AP176" s="145">
        <v>551.31976000000009</v>
      </c>
      <c r="AQ176" s="221">
        <v>551.31976000000009</v>
      </c>
    </row>
    <row r="177" spans="1:44">
      <c r="A177" s="143"/>
      <c r="B177" s="143"/>
      <c r="C177" s="143"/>
      <c r="D177" s="143"/>
      <c r="E177" s="143"/>
      <c r="F177" s="143"/>
      <c r="G177" s="143"/>
      <c r="H177" s="149"/>
      <c r="I177" s="154"/>
      <c r="J177" s="149"/>
      <c r="K177" s="149"/>
      <c r="L177" s="155">
        <f>SUM(L163:L171)</f>
        <v>523.02436</v>
      </c>
      <c r="M177" s="153">
        <f>M175/N175</f>
        <v>7.2422153424231519</v>
      </c>
      <c r="N177" s="66"/>
      <c r="O177" s="66"/>
      <c r="Y177" s="215" t="s">
        <v>29</v>
      </c>
      <c r="Z177" s="215"/>
      <c r="AA177" s="215">
        <v>3.0796832553486655</v>
      </c>
      <c r="AB177" s="215" t="s">
        <v>30</v>
      </c>
      <c r="AC177" s="215">
        <v>2.079683255348665</v>
      </c>
      <c r="AN177" s="215" t="s">
        <v>29</v>
      </c>
      <c r="AO177" s="215"/>
      <c r="AP177" s="215">
        <v>3.4774612967929106</v>
      </c>
      <c r="AQ177" s="215" t="s">
        <v>30</v>
      </c>
      <c r="AR177" s="215">
        <v>2.4774612967929106</v>
      </c>
    </row>
    <row r="178" spans="1:44">
      <c r="H178" s="158" t="s">
        <v>18</v>
      </c>
      <c r="I178" s="158"/>
      <c r="K178" s="158"/>
      <c r="L178" s="159">
        <f>L176/L163</f>
        <v>3.2785722760707872</v>
      </c>
      <c r="M178" s="158" t="s">
        <v>19</v>
      </c>
      <c r="N178" s="159">
        <f>(L176-L163)/L163</f>
        <v>2.2785722760707876</v>
      </c>
    </row>
    <row r="180" spans="1:44">
      <c r="A180" s="187" t="s">
        <v>23</v>
      </c>
      <c r="P180" s="187" t="s">
        <v>24</v>
      </c>
      <c r="AE180" s="187" t="s">
        <v>25</v>
      </c>
    </row>
    <row r="181" spans="1:44">
      <c r="B181" s="223" t="s">
        <v>32</v>
      </c>
      <c r="C181" s="28"/>
      <c r="D181" s="28"/>
      <c r="E181" s="28"/>
      <c r="G181" s="29" t="s">
        <v>1</v>
      </c>
      <c r="H181" s="29"/>
      <c r="I181" s="30">
        <v>7</v>
      </c>
      <c r="J181" s="29" t="s">
        <v>2</v>
      </c>
      <c r="K181" s="29"/>
      <c r="L181" s="30">
        <v>10</v>
      </c>
      <c r="M181" s="31">
        <f>L181/I181</f>
        <v>1.4285714285714286</v>
      </c>
      <c r="N181" s="32"/>
      <c r="O181" s="33"/>
      <c r="Q181" s="223" t="s">
        <v>32</v>
      </c>
      <c r="AF181" s="223" t="s">
        <v>32</v>
      </c>
    </row>
    <row r="182" spans="1:44">
      <c r="B182" s="34" t="s">
        <v>3</v>
      </c>
      <c r="C182" s="34"/>
      <c r="D182" s="34"/>
      <c r="E182" s="35"/>
      <c r="F182" s="28"/>
      <c r="G182" s="28"/>
      <c r="H182" s="28"/>
      <c r="I182" s="29" t="s">
        <v>27</v>
      </c>
      <c r="J182" s="28"/>
      <c r="K182" s="28"/>
      <c r="L182" s="32"/>
      <c r="M182" s="32"/>
      <c r="N182" s="32"/>
      <c r="O182" s="33"/>
    </row>
    <row r="183" spans="1:44">
      <c r="B183" s="36" t="s">
        <v>4</v>
      </c>
      <c r="C183" s="37">
        <v>1</v>
      </c>
      <c r="D183" s="38">
        <v>2</v>
      </c>
      <c r="E183" s="39">
        <v>3</v>
      </c>
      <c r="F183" s="40">
        <v>4</v>
      </c>
      <c r="G183" s="41">
        <v>5</v>
      </c>
      <c r="H183" s="42">
        <v>6</v>
      </c>
      <c r="I183" s="43">
        <v>7</v>
      </c>
      <c r="J183" s="44">
        <v>8</v>
      </c>
      <c r="K183" s="45"/>
      <c r="L183" s="46"/>
      <c r="M183" s="46"/>
      <c r="O183" s="32"/>
      <c r="Q183" s="36" t="s">
        <v>4</v>
      </c>
      <c r="R183" s="37">
        <v>1</v>
      </c>
      <c r="S183" s="39">
        <v>2</v>
      </c>
      <c r="T183" s="39">
        <v>3</v>
      </c>
      <c r="U183" s="40">
        <v>4</v>
      </c>
      <c r="V183" s="41">
        <v>5</v>
      </c>
      <c r="W183" s="42">
        <v>6</v>
      </c>
      <c r="X183" s="43">
        <v>7</v>
      </c>
      <c r="Y183" s="44">
        <v>8</v>
      </c>
      <c r="Z183" s="28"/>
      <c r="AA183" s="28"/>
      <c r="AF183" s="36" t="s">
        <v>4</v>
      </c>
      <c r="AG183" s="37">
        <v>1</v>
      </c>
      <c r="AH183" s="39">
        <v>2</v>
      </c>
      <c r="AI183" s="39">
        <v>3</v>
      </c>
      <c r="AJ183" s="40">
        <v>4</v>
      </c>
      <c r="AK183" s="41">
        <v>5</v>
      </c>
      <c r="AL183" s="42">
        <v>6</v>
      </c>
      <c r="AM183" s="43">
        <v>7</v>
      </c>
      <c r="AN183" s="44">
        <v>8</v>
      </c>
      <c r="AO183" s="28"/>
      <c r="AP183" s="28"/>
    </row>
    <row r="184" spans="1:44">
      <c r="A184" s="47" t="s">
        <v>5</v>
      </c>
      <c r="C184" s="37" t="s">
        <v>6</v>
      </c>
      <c r="D184" s="48" t="s">
        <v>59</v>
      </c>
      <c r="E184" s="49" t="s">
        <v>58</v>
      </c>
      <c r="F184" s="40" t="s">
        <v>7</v>
      </c>
      <c r="G184" s="50" t="s">
        <v>8</v>
      </c>
      <c r="H184" s="51" t="s">
        <v>9</v>
      </c>
      <c r="I184" s="43" t="s">
        <v>60</v>
      </c>
      <c r="J184" s="52" t="s">
        <v>10</v>
      </c>
      <c r="K184" s="53"/>
      <c r="L184" s="160" t="s">
        <v>11</v>
      </c>
      <c r="M184" s="161" t="s">
        <v>12</v>
      </c>
      <c r="N184" s="161" t="s">
        <v>13</v>
      </c>
      <c r="O184" s="28"/>
      <c r="R184" s="37" t="s">
        <v>6</v>
      </c>
      <c r="S184" s="48" t="s">
        <v>59</v>
      </c>
      <c r="T184" s="49" t="s">
        <v>58</v>
      </c>
      <c r="U184" s="40" t="s">
        <v>7</v>
      </c>
      <c r="V184" s="50" t="s">
        <v>8</v>
      </c>
      <c r="W184" s="51" t="s">
        <v>9</v>
      </c>
      <c r="X184" s="43" t="s">
        <v>28</v>
      </c>
      <c r="Y184" s="52" t="s">
        <v>10</v>
      </c>
      <c r="Z184" s="180"/>
      <c r="AA184" s="54" t="s">
        <v>11</v>
      </c>
      <c r="AB184" s="55" t="s">
        <v>12</v>
      </c>
      <c r="AC184" s="189" t="s">
        <v>13</v>
      </c>
      <c r="AG184" s="37" t="s">
        <v>6</v>
      </c>
      <c r="AH184" s="48" t="s">
        <v>59</v>
      </c>
      <c r="AI184" s="49" t="s">
        <v>58</v>
      </c>
      <c r="AJ184" s="40" t="s">
        <v>7</v>
      </c>
      <c r="AK184" s="50" t="s">
        <v>8</v>
      </c>
      <c r="AL184" s="51" t="s">
        <v>9</v>
      </c>
      <c r="AM184" s="43" t="s">
        <v>28</v>
      </c>
      <c r="AN184" s="52" t="s">
        <v>10</v>
      </c>
      <c r="AO184" s="180" t="s">
        <v>33</v>
      </c>
      <c r="AP184" s="54" t="s">
        <v>11</v>
      </c>
      <c r="AQ184" s="55" t="s">
        <v>12</v>
      </c>
      <c r="AR184" s="189" t="s">
        <v>13</v>
      </c>
    </row>
    <row r="185" spans="1:44">
      <c r="A185" s="37">
        <v>1</v>
      </c>
      <c r="B185" s="37" t="s">
        <v>6</v>
      </c>
      <c r="C185" s="56"/>
      <c r="D185" s="57">
        <v>128.13773999999998</v>
      </c>
      <c r="E185" s="58"/>
      <c r="F185" s="59"/>
      <c r="G185" s="60"/>
      <c r="H185" s="61"/>
      <c r="I185" s="62"/>
      <c r="J185" s="171"/>
      <c r="K185" s="53"/>
      <c r="L185" s="64">
        <f t="shared" ref="L185:L192" si="56">SUM(C185:K185)</f>
        <v>128.13773999999998</v>
      </c>
      <c r="M185" s="65">
        <f t="shared" ref="M185:M191" si="57">SUM(C185:I185)</f>
        <v>128.13773999999998</v>
      </c>
      <c r="N185" s="65">
        <f>SUM(J185:K185)</f>
        <v>0</v>
      </c>
      <c r="O185" s="66"/>
      <c r="Q185" s="37" t="s">
        <v>6</v>
      </c>
      <c r="R185" s="190"/>
      <c r="S185" s="191">
        <v>128.13773999999998</v>
      </c>
      <c r="T185" s="192"/>
      <c r="U185" s="193"/>
      <c r="V185" s="194"/>
      <c r="W185" s="195"/>
      <c r="X185" s="196"/>
      <c r="Y185" s="171"/>
      <c r="Z185" s="171"/>
      <c r="AA185" s="64">
        <v>128.13773999999998</v>
      </c>
      <c r="AB185" s="65">
        <v>128.13773999999998</v>
      </c>
      <c r="AC185" s="197">
        <v>0</v>
      </c>
      <c r="AF185" s="37" t="s">
        <v>6</v>
      </c>
      <c r="AG185" s="190"/>
      <c r="AH185" s="191">
        <v>128.13773999999998</v>
      </c>
      <c r="AI185" s="192"/>
      <c r="AJ185" s="193"/>
      <c r="AK185" s="194"/>
      <c r="AL185" s="195"/>
      <c r="AM185" s="196"/>
      <c r="AN185" s="171"/>
      <c r="AO185" s="171"/>
      <c r="AP185" s="64">
        <v>128.13773999999998</v>
      </c>
      <c r="AQ185" s="65">
        <v>128.13773999999998</v>
      </c>
      <c r="AR185" s="197">
        <v>0</v>
      </c>
    </row>
    <row r="186" spans="1:44">
      <c r="A186" s="38">
        <v>2</v>
      </c>
      <c r="B186" s="38" t="s">
        <v>59</v>
      </c>
      <c r="C186" s="69"/>
      <c r="D186" s="70"/>
      <c r="E186" s="71">
        <v>86.098860000000002</v>
      </c>
      <c r="F186" s="72">
        <v>20.682590000000001</v>
      </c>
      <c r="G186" s="73">
        <v>20.682590000000001</v>
      </c>
      <c r="H186" s="74"/>
      <c r="I186" s="75">
        <v>0.7</v>
      </c>
      <c r="J186" s="171"/>
      <c r="K186" s="53"/>
      <c r="L186" s="77">
        <f t="shared" si="56"/>
        <v>128.16404</v>
      </c>
      <c r="M186" s="78">
        <f t="shared" si="57"/>
        <v>128.16404</v>
      </c>
      <c r="N186" s="78">
        <f>SUM(J186:K186)</f>
        <v>0</v>
      </c>
      <c r="O186" s="66"/>
      <c r="Q186" s="48" t="s">
        <v>59</v>
      </c>
      <c r="R186" s="198"/>
      <c r="S186" s="199"/>
      <c r="T186" s="175">
        <v>86.098860000000002</v>
      </c>
      <c r="U186" s="176"/>
      <c r="V186" s="177">
        <v>41.365180000000002</v>
      </c>
      <c r="W186" s="178"/>
      <c r="X186" s="200">
        <v>0.7</v>
      </c>
      <c r="Y186" s="171"/>
      <c r="Z186" s="171"/>
      <c r="AA186" s="77">
        <v>128.16404</v>
      </c>
      <c r="AB186" s="86">
        <v>128.16404</v>
      </c>
      <c r="AC186" s="201">
        <v>0</v>
      </c>
      <c r="AF186" s="48" t="s">
        <v>59</v>
      </c>
      <c r="AG186" s="198"/>
      <c r="AH186" s="199"/>
      <c r="AI186" s="175">
        <v>86.098860000000002</v>
      </c>
      <c r="AJ186" s="176">
        <v>41.365180000000002</v>
      </c>
      <c r="AK186" s="177"/>
      <c r="AL186" s="178"/>
      <c r="AM186" s="200">
        <v>0.7</v>
      </c>
      <c r="AN186" s="171"/>
      <c r="AO186" s="171"/>
      <c r="AP186" s="77">
        <v>128.16404</v>
      </c>
      <c r="AQ186" s="86">
        <v>128.16404</v>
      </c>
      <c r="AR186" s="201">
        <v>0</v>
      </c>
    </row>
    <row r="187" spans="1:44">
      <c r="A187" s="39">
        <v>3</v>
      </c>
      <c r="B187" s="49" t="s">
        <v>58</v>
      </c>
      <c r="C187" s="69">
        <v>86.098860000000002</v>
      </c>
      <c r="D187" s="79"/>
      <c r="E187" s="80"/>
      <c r="F187" s="81"/>
      <c r="G187" s="82"/>
      <c r="H187" s="83"/>
      <c r="I187" s="84"/>
      <c r="J187" s="171"/>
      <c r="K187" s="53"/>
      <c r="L187" s="85">
        <f t="shared" si="56"/>
        <v>86.098860000000002</v>
      </c>
      <c r="M187" s="86">
        <f t="shared" si="57"/>
        <v>86.098860000000002</v>
      </c>
      <c r="N187" s="86">
        <f t="shared" ref="N187:N191" si="58">SUM(J187:K187)</f>
        <v>0</v>
      </c>
      <c r="O187" s="66"/>
      <c r="Q187" s="49" t="s">
        <v>58</v>
      </c>
      <c r="R187" s="198">
        <v>86.098860000000002</v>
      </c>
      <c r="S187" s="199"/>
      <c r="T187" s="175"/>
      <c r="U187" s="176"/>
      <c r="V187" s="177"/>
      <c r="W187" s="178"/>
      <c r="X187" s="202"/>
      <c r="Y187" s="171"/>
      <c r="Z187" s="171"/>
      <c r="AA187" s="85">
        <v>86.098860000000002</v>
      </c>
      <c r="AB187" s="86">
        <v>86.098860000000002</v>
      </c>
      <c r="AC187" s="201">
        <v>0</v>
      </c>
      <c r="AF187" s="49" t="s">
        <v>58</v>
      </c>
      <c r="AG187" s="198">
        <v>86.098860000000002</v>
      </c>
      <c r="AH187" s="199"/>
      <c r="AI187" s="175"/>
      <c r="AJ187" s="176"/>
      <c r="AK187" s="177"/>
      <c r="AL187" s="178"/>
      <c r="AM187" s="202"/>
      <c r="AN187" s="171"/>
      <c r="AO187" s="171"/>
      <c r="AP187" s="85">
        <v>86.098860000000002</v>
      </c>
      <c r="AQ187" s="86">
        <v>86.098860000000002</v>
      </c>
      <c r="AR187" s="201">
        <v>0</v>
      </c>
    </row>
    <row r="188" spans="1:44">
      <c r="A188" s="40">
        <v>4</v>
      </c>
      <c r="B188" s="40" t="s">
        <v>7</v>
      </c>
      <c r="C188" s="87"/>
      <c r="D188" s="79"/>
      <c r="E188" s="71"/>
      <c r="F188" s="81"/>
      <c r="G188" s="73">
        <v>20.682590000000001</v>
      </c>
      <c r="H188" s="74"/>
      <c r="I188" s="84"/>
      <c r="J188" s="172"/>
      <c r="K188" s="53"/>
      <c r="L188" s="89">
        <f t="shared" si="56"/>
        <v>20.682590000000001</v>
      </c>
      <c r="M188" s="90">
        <f t="shared" si="57"/>
        <v>20.682590000000001</v>
      </c>
      <c r="N188" s="90">
        <f t="shared" si="58"/>
        <v>0</v>
      </c>
      <c r="O188" s="66"/>
      <c r="Q188" s="40" t="s">
        <v>7</v>
      </c>
      <c r="R188" s="198"/>
      <c r="S188" s="199"/>
      <c r="T188" s="175"/>
      <c r="U188" s="176"/>
      <c r="V188" s="177"/>
      <c r="W188" s="178"/>
      <c r="X188" s="202"/>
      <c r="Y188" s="172"/>
      <c r="Z188" s="171"/>
      <c r="AA188" s="89">
        <v>0</v>
      </c>
      <c r="AB188" s="90">
        <v>0</v>
      </c>
      <c r="AC188" s="203">
        <v>0</v>
      </c>
      <c r="AF188" s="40" t="s">
        <v>7</v>
      </c>
      <c r="AG188" s="198"/>
      <c r="AH188" s="199"/>
      <c r="AI188" s="175"/>
      <c r="AJ188" s="176"/>
      <c r="AK188" s="177">
        <v>41.365180000000002</v>
      </c>
      <c r="AL188" s="178"/>
      <c r="AM188" s="202"/>
      <c r="AN188" s="172"/>
      <c r="AO188" s="171"/>
      <c r="AP188" s="89">
        <v>41.365180000000002</v>
      </c>
      <c r="AQ188" s="90">
        <v>41.365180000000002</v>
      </c>
      <c r="AR188" s="203">
        <v>0</v>
      </c>
    </row>
    <row r="189" spans="1:44">
      <c r="A189" s="41">
        <v>5</v>
      </c>
      <c r="B189" s="50" t="s">
        <v>8</v>
      </c>
      <c r="C189" s="69"/>
      <c r="D189" s="79"/>
      <c r="E189" s="71"/>
      <c r="F189" s="72"/>
      <c r="G189" s="82"/>
      <c r="H189" s="74"/>
      <c r="I189" s="75"/>
      <c r="J189" s="172">
        <v>41.365180000000002</v>
      </c>
      <c r="K189" s="53"/>
      <c r="L189" s="91">
        <f t="shared" si="56"/>
        <v>41.365180000000002</v>
      </c>
      <c r="M189" s="92">
        <f t="shared" si="57"/>
        <v>0</v>
      </c>
      <c r="N189" s="92">
        <f t="shared" si="58"/>
        <v>41.365180000000002</v>
      </c>
      <c r="O189" s="66"/>
      <c r="Q189" s="50" t="s">
        <v>8</v>
      </c>
      <c r="R189" s="198"/>
      <c r="S189" s="199"/>
      <c r="T189" s="175"/>
      <c r="U189" s="176"/>
      <c r="V189" s="177"/>
      <c r="W189" s="178"/>
      <c r="X189" s="200"/>
      <c r="Y189" s="172">
        <v>41.365180000000002</v>
      </c>
      <c r="Z189" s="171"/>
      <c r="AA189" s="91">
        <v>41.365180000000002</v>
      </c>
      <c r="AB189" s="92">
        <v>0</v>
      </c>
      <c r="AC189" s="204">
        <v>41.365180000000002</v>
      </c>
      <c r="AF189" s="50" t="s">
        <v>8</v>
      </c>
      <c r="AG189" s="198"/>
      <c r="AH189" s="199"/>
      <c r="AI189" s="175"/>
      <c r="AJ189" s="176"/>
      <c r="AK189" s="177"/>
      <c r="AL189" s="178"/>
      <c r="AM189" s="200"/>
      <c r="AN189" s="172">
        <v>41.365180000000002</v>
      </c>
      <c r="AO189" s="171"/>
      <c r="AP189" s="91">
        <v>41.365180000000002</v>
      </c>
      <c r="AQ189" s="92">
        <v>0</v>
      </c>
      <c r="AR189" s="204">
        <v>41.365180000000002</v>
      </c>
    </row>
    <row r="190" spans="1:44">
      <c r="A190" s="42">
        <v>6</v>
      </c>
      <c r="B190" s="51" t="s">
        <v>9</v>
      </c>
      <c r="C190" s="69"/>
      <c r="D190" s="79"/>
      <c r="E190" s="80"/>
      <c r="F190" s="72"/>
      <c r="G190" s="73"/>
      <c r="H190" s="83"/>
      <c r="I190" s="84"/>
      <c r="J190" s="172"/>
      <c r="K190" s="53"/>
      <c r="L190" s="93">
        <f t="shared" si="56"/>
        <v>0</v>
      </c>
      <c r="M190" s="94">
        <f t="shared" si="57"/>
        <v>0</v>
      </c>
      <c r="N190" s="94">
        <f t="shared" si="58"/>
        <v>0</v>
      </c>
      <c r="O190" s="66"/>
      <c r="Q190" s="51" t="s">
        <v>9</v>
      </c>
      <c r="R190" s="198"/>
      <c r="S190" s="199"/>
      <c r="T190" s="175"/>
      <c r="U190" s="176"/>
      <c r="V190" s="177"/>
      <c r="W190" s="178"/>
      <c r="X190" s="202"/>
      <c r="Y190" s="172"/>
      <c r="Z190" s="171"/>
      <c r="AA190" s="93">
        <v>0</v>
      </c>
      <c r="AB190" s="94">
        <v>0</v>
      </c>
      <c r="AC190" s="205">
        <v>0</v>
      </c>
      <c r="AF190" s="51" t="s">
        <v>9</v>
      </c>
      <c r="AG190" s="198"/>
      <c r="AH190" s="199"/>
      <c r="AI190" s="175"/>
      <c r="AJ190" s="176"/>
      <c r="AK190" s="177"/>
      <c r="AL190" s="178"/>
      <c r="AM190" s="202"/>
      <c r="AN190" s="172"/>
      <c r="AO190" s="171"/>
      <c r="AP190" s="93">
        <v>0</v>
      </c>
      <c r="AQ190" s="94">
        <v>0</v>
      </c>
      <c r="AR190" s="205">
        <v>0</v>
      </c>
    </row>
    <row r="191" spans="1:44">
      <c r="A191" s="43">
        <v>7</v>
      </c>
      <c r="B191" s="43" t="s">
        <v>60</v>
      </c>
      <c r="C191" s="95">
        <v>0.7</v>
      </c>
      <c r="D191" s="96"/>
      <c r="E191" s="97"/>
      <c r="F191" s="98"/>
      <c r="G191" s="99"/>
      <c r="H191" s="100"/>
      <c r="I191" s="101"/>
      <c r="J191" s="171"/>
      <c r="K191" s="53"/>
      <c r="L191" s="102">
        <f t="shared" si="56"/>
        <v>0.7</v>
      </c>
      <c r="M191" s="103">
        <f t="shared" si="57"/>
        <v>0.7</v>
      </c>
      <c r="N191" s="103">
        <f t="shared" si="58"/>
        <v>0</v>
      </c>
      <c r="O191" s="66"/>
      <c r="Q191" s="43" t="s">
        <v>28</v>
      </c>
      <c r="R191" s="206">
        <v>0.7</v>
      </c>
      <c r="S191" s="207"/>
      <c r="T191" s="208"/>
      <c r="U191" s="209"/>
      <c r="V191" s="210"/>
      <c r="W191" s="211"/>
      <c r="X191" s="212"/>
      <c r="Y191" s="171"/>
      <c r="Z191" s="171"/>
      <c r="AA191" s="102">
        <v>0.7</v>
      </c>
      <c r="AB191" s="103">
        <v>0.7</v>
      </c>
      <c r="AC191" s="213">
        <v>0</v>
      </c>
      <c r="AF191" s="43" t="s">
        <v>28</v>
      </c>
      <c r="AG191" s="206">
        <v>0.7</v>
      </c>
      <c r="AH191" s="207"/>
      <c r="AI191" s="208"/>
      <c r="AJ191" s="209"/>
      <c r="AK191" s="210"/>
      <c r="AL191" s="211"/>
      <c r="AM191" s="212"/>
      <c r="AN191" s="171"/>
      <c r="AO191" s="171"/>
      <c r="AP191" s="102">
        <v>0.7</v>
      </c>
      <c r="AQ191" s="103">
        <v>0.7</v>
      </c>
      <c r="AR191" s="213">
        <v>0</v>
      </c>
    </row>
    <row r="192" spans="1:44">
      <c r="A192" s="44">
        <v>8</v>
      </c>
      <c r="B192" s="52" t="s">
        <v>10</v>
      </c>
      <c r="C192" s="173">
        <v>41.365180000000002</v>
      </c>
      <c r="D192" s="174"/>
      <c r="E192" s="175"/>
      <c r="F192" s="176"/>
      <c r="G192" s="177"/>
      <c r="H192" s="178"/>
      <c r="I192" s="179"/>
      <c r="J192" s="171"/>
      <c r="K192" s="53"/>
      <c r="L192" s="102">
        <f t="shared" si="56"/>
        <v>41.365180000000002</v>
      </c>
      <c r="M192" s="106"/>
      <c r="N192" s="66"/>
      <c r="O192" s="66"/>
      <c r="Q192" s="52" t="s">
        <v>10</v>
      </c>
      <c r="R192" s="173">
        <v>41.365180000000002</v>
      </c>
      <c r="S192" s="174"/>
      <c r="T192" s="175"/>
      <c r="U192" s="176"/>
      <c r="V192" s="177"/>
      <c r="W192" s="178"/>
      <c r="X192" s="179"/>
      <c r="Y192" s="171"/>
      <c r="Z192" s="171"/>
      <c r="AA192" s="102">
        <v>41.365180000000002</v>
      </c>
      <c r="AB192" s="106"/>
      <c r="AC192" s="214"/>
      <c r="AF192" s="52" t="s">
        <v>10</v>
      </c>
      <c r="AG192" s="173">
        <v>41.365180000000002</v>
      </c>
      <c r="AH192" s="174"/>
      <c r="AI192" s="175"/>
      <c r="AJ192" s="176"/>
      <c r="AK192" s="177"/>
      <c r="AL192" s="178"/>
      <c r="AM192" s="179"/>
      <c r="AN192" s="171"/>
      <c r="AO192" s="171"/>
      <c r="AP192" s="102">
        <v>41.365180000000002</v>
      </c>
      <c r="AQ192" s="106"/>
      <c r="AR192" s="214"/>
    </row>
    <row r="193" spans="1:44">
      <c r="A193" s="45"/>
      <c r="B193" s="107"/>
      <c r="C193" s="107"/>
      <c r="D193" s="108"/>
      <c r="E193" s="109"/>
      <c r="F193" s="110"/>
      <c r="G193" s="111"/>
      <c r="H193" s="112"/>
      <c r="I193" s="112"/>
      <c r="J193" s="112"/>
      <c r="K193" s="53"/>
      <c r="L193" s="102"/>
      <c r="M193" s="113"/>
      <c r="N193" s="114"/>
      <c r="O193" s="115"/>
      <c r="Q193" s="180"/>
      <c r="R193" s="199"/>
      <c r="S193" s="199"/>
      <c r="T193" s="175"/>
      <c r="U193" s="215"/>
      <c r="V193" s="177"/>
      <c r="W193" s="178"/>
      <c r="X193" s="215"/>
      <c r="Y193" s="216"/>
      <c r="Z193" s="217"/>
      <c r="AA193" s="102"/>
      <c r="AB193" s="113"/>
      <c r="AC193" s="218"/>
      <c r="AF193" s="180" t="s">
        <v>33</v>
      </c>
      <c r="AG193" s="199"/>
      <c r="AH193" s="199"/>
      <c r="AI193" s="175"/>
      <c r="AJ193" s="215"/>
      <c r="AK193" s="177"/>
      <c r="AL193" s="178"/>
      <c r="AM193" s="215"/>
      <c r="AN193" s="216" t="s">
        <v>34</v>
      </c>
      <c r="AO193" s="217">
        <v>0</v>
      </c>
      <c r="AP193" s="102"/>
      <c r="AQ193" s="113"/>
      <c r="AR193" s="218"/>
    </row>
    <row r="194" spans="1:44">
      <c r="B194" s="116" t="s">
        <v>14</v>
      </c>
      <c r="C194" s="117">
        <f t="shared" ref="C194:G194" si="59">SUM(C185:C193)</f>
        <v>128.16404</v>
      </c>
      <c r="D194" s="118">
        <f t="shared" si="59"/>
        <v>128.13773999999998</v>
      </c>
      <c r="E194" s="119">
        <f t="shared" si="59"/>
        <v>86.098860000000002</v>
      </c>
      <c r="F194" s="120">
        <f t="shared" si="59"/>
        <v>20.682590000000001</v>
      </c>
      <c r="G194" s="121">
        <f t="shared" si="59"/>
        <v>41.365180000000002</v>
      </c>
      <c r="H194" s="122">
        <f>SUM(H185:H193)</f>
        <v>0</v>
      </c>
      <c r="I194" s="219">
        <f>SUM(I185:I193)</f>
        <v>0.7</v>
      </c>
      <c r="J194" s="124">
        <f t="shared" ref="J194" si="60">SUM(J185:J193)</f>
        <v>41.365180000000002</v>
      </c>
      <c r="K194" s="125"/>
      <c r="L194" s="126">
        <f>SUM(C194:I194)</f>
        <v>405.14841000000001</v>
      </c>
      <c r="M194" s="127" t="s">
        <v>15</v>
      </c>
      <c r="N194" s="128"/>
      <c r="Q194" s="116" t="s">
        <v>14</v>
      </c>
      <c r="R194" s="117">
        <v>128.16404</v>
      </c>
      <c r="S194" s="118">
        <v>128.13773999999998</v>
      </c>
      <c r="T194" s="119">
        <v>86.098860000000002</v>
      </c>
      <c r="U194" s="120">
        <v>0</v>
      </c>
      <c r="V194" s="121">
        <v>41.365180000000002</v>
      </c>
      <c r="W194" s="122">
        <v>0</v>
      </c>
      <c r="X194" s="219">
        <v>0.7</v>
      </c>
      <c r="Y194" s="124">
        <v>41.365180000000002</v>
      </c>
      <c r="Z194" s="125"/>
      <c r="AA194" s="126">
        <v>384.46582000000001</v>
      </c>
      <c r="AB194" s="127" t="s">
        <v>15</v>
      </c>
      <c r="AC194" s="128"/>
      <c r="AF194" s="116" t="s">
        <v>14</v>
      </c>
      <c r="AG194" s="117">
        <v>128.16404</v>
      </c>
      <c r="AH194" s="118">
        <v>128.13773999999998</v>
      </c>
      <c r="AI194" s="119">
        <v>86.098860000000002</v>
      </c>
      <c r="AJ194" s="120">
        <v>41.365180000000002</v>
      </c>
      <c r="AK194" s="121">
        <v>41.365180000000002</v>
      </c>
      <c r="AL194" s="122">
        <v>0</v>
      </c>
      <c r="AM194" s="219">
        <v>0.7</v>
      </c>
      <c r="AN194" s="124">
        <v>41.365180000000002</v>
      </c>
      <c r="AO194" s="125"/>
      <c r="AP194" s="126">
        <v>425.83100000000002</v>
      </c>
      <c r="AQ194" s="127" t="s">
        <v>15</v>
      </c>
      <c r="AR194" s="128"/>
    </row>
    <row r="195" spans="1:44">
      <c r="B195" s="129" t="s">
        <v>16</v>
      </c>
      <c r="C195" s="65">
        <f t="shared" ref="C195:I195" si="61">SUM(C185:C191)</f>
        <v>86.798860000000005</v>
      </c>
      <c r="D195" s="78">
        <f t="shared" si="61"/>
        <v>128.13773999999998</v>
      </c>
      <c r="E195" s="86">
        <f t="shared" si="61"/>
        <v>86.098860000000002</v>
      </c>
      <c r="F195" s="90">
        <f t="shared" si="61"/>
        <v>20.682590000000001</v>
      </c>
      <c r="G195" s="92">
        <f t="shared" si="61"/>
        <v>41.365180000000002</v>
      </c>
      <c r="H195" s="94">
        <f t="shared" si="61"/>
        <v>0</v>
      </c>
      <c r="I195" s="103">
        <f t="shared" si="61"/>
        <v>0.7</v>
      </c>
      <c r="K195" s="26"/>
      <c r="L195" s="130">
        <f>SUM(C195:I195)</f>
        <v>363.78323</v>
      </c>
      <c r="M195" s="127">
        <f>L195/L196</f>
        <v>8.7944312100177005</v>
      </c>
      <c r="N195" s="66"/>
      <c r="O195" s="131"/>
      <c r="Q195" s="129" t="s">
        <v>16</v>
      </c>
      <c r="R195" s="65">
        <v>86.798860000000005</v>
      </c>
      <c r="S195" s="86">
        <v>128.13773999999998</v>
      </c>
      <c r="T195" s="86">
        <v>86.098860000000002</v>
      </c>
      <c r="U195" s="90">
        <v>0</v>
      </c>
      <c r="V195" s="92">
        <v>41.365180000000002</v>
      </c>
      <c r="W195" s="94">
        <v>0</v>
      </c>
      <c r="X195" s="103">
        <v>0.7</v>
      </c>
      <c r="Y195" s="142"/>
      <c r="Z195" s="179"/>
      <c r="AA195" s="130">
        <v>343.10064</v>
      </c>
      <c r="AB195" s="127">
        <v>8.2944312100177005</v>
      </c>
      <c r="AC195" s="66"/>
      <c r="AF195" s="129" t="s">
        <v>16</v>
      </c>
      <c r="AG195" s="65">
        <v>86.798860000000005</v>
      </c>
      <c r="AH195" s="86">
        <v>128.13773999999998</v>
      </c>
      <c r="AI195" s="86">
        <v>86.098860000000002</v>
      </c>
      <c r="AJ195" s="90">
        <v>41.365180000000002</v>
      </c>
      <c r="AK195" s="92">
        <v>41.365180000000002</v>
      </c>
      <c r="AL195" s="94">
        <v>0</v>
      </c>
      <c r="AM195" s="103">
        <v>0.7</v>
      </c>
      <c r="AN195" s="142"/>
      <c r="AO195" s="179"/>
      <c r="AP195" s="130">
        <v>384.46582000000001</v>
      </c>
      <c r="AQ195" s="127">
        <v>9.2944312100177005</v>
      </c>
      <c r="AR195" s="66"/>
    </row>
    <row r="196" spans="1:44">
      <c r="B196" s="132" t="s">
        <v>17</v>
      </c>
      <c r="C196" s="133">
        <f>C192+C193</f>
        <v>41.365180000000002</v>
      </c>
      <c r="D196" s="134">
        <f>D192+D193</f>
        <v>0</v>
      </c>
      <c r="E196" s="135">
        <f t="shared" ref="E196:H196" si="62">E192+E193</f>
        <v>0</v>
      </c>
      <c r="F196" s="136">
        <f t="shared" si="62"/>
        <v>0</v>
      </c>
      <c r="G196" s="137">
        <f t="shared" si="62"/>
        <v>0</v>
      </c>
      <c r="H196" s="138">
        <f t="shared" si="62"/>
        <v>0</v>
      </c>
      <c r="I196" s="139">
        <f>I192+I193</f>
        <v>0</v>
      </c>
      <c r="J196" s="140"/>
      <c r="K196" s="141"/>
      <c r="L196" s="130">
        <f>SUM(C196:I196)</f>
        <v>41.365180000000002</v>
      </c>
      <c r="M196" s="142"/>
      <c r="N196" s="66"/>
      <c r="O196" s="66"/>
      <c r="Q196" s="132" t="s">
        <v>17</v>
      </c>
      <c r="R196" s="133">
        <v>41.365180000000002</v>
      </c>
      <c r="S196" s="135">
        <v>0</v>
      </c>
      <c r="T196" s="135">
        <v>0</v>
      </c>
      <c r="U196" s="136">
        <v>0</v>
      </c>
      <c r="V196" s="137">
        <v>0</v>
      </c>
      <c r="W196" s="138">
        <v>0</v>
      </c>
      <c r="X196" s="139">
        <v>0</v>
      </c>
      <c r="Y196" s="220"/>
      <c r="Z196" s="209"/>
      <c r="AA196" s="130">
        <v>41.365180000000002</v>
      </c>
      <c r="AB196" s="142"/>
      <c r="AC196" s="66"/>
      <c r="AF196" s="132" t="s">
        <v>17</v>
      </c>
      <c r="AG196" s="133">
        <v>41.365180000000002</v>
      </c>
      <c r="AH196" s="135">
        <v>0</v>
      </c>
      <c r="AI196" s="135">
        <v>0</v>
      </c>
      <c r="AJ196" s="136">
        <v>0</v>
      </c>
      <c r="AK196" s="137">
        <v>0</v>
      </c>
      <c r="AL196" s="138">
        <v>0</v>
      </c>
      <c r="AM196" s="139">
        <v>0</v>
      </c>
      <c r="AN196" s="220"/>
      <c r="AO196" s="209"/>
      <c r="AP196" s="130">
        <v>41.365180000000002</v>
      </c>
      <c r="AQ196" s="142"/>
      <c r="AR196" s="66"/>
    </row>
    <row r="197" spans="1:44">
      <c r="A197" s="143"/>
      <c r="B197" s="26"/>
      <c r="C197" s="142">
        <f>C194-L185</f>
        <v>2.6300000000020418E-2</v>
      </c>
      <c r="D197" s="142">
        <f>D194-L186</f>
        <v>-2.6300000000020418E-2</v>
      </c>
      <c r="E197" s="142">
        <f>E194-L187</f>
        <v>0</v>
      </c>
      <c r="F197" s="142">
        <f>F194-L188</f>
        <v>0</v>
      </c>
      <c r="G197" s="142">
        <f>G194-L189</f>
        <v>0</v>
      </c>
      <c r="H197" s="142">
        <f>H194-L190</f>
        <v>0</v>
      </c>
      <c r="I197" s="142">
        <f>I194-L191</f>
        <v>0</v>
      </c>
      <c r="J197" s="44"/>
      <c r="K197" s="144"/>
      <c r="L197" s="145">
        <f>SUM(L185:L193)</f>
        <v>446.51359000000002</v>
      </c>
      <c r="M197" s="146">
        <f>SUM(M185:M191)</f>
        <v>363.78323</v>
      </c>
      <c r="N197" s="147">
        <f>SUM(N185:N191)</f>
        <v>41.365180000000002</v>
      </c>
      <c r="O197" s="148">
        <f>M197+N197</f>
        <v>405.14841000000001</v>
      </c>
      <c r="Q197" s="26"/>
      <c r="R197" s="142">
        <v>2.6300000000020418E-2</v>
      </c>
      <c r="S197" s="142">
        <v>-2.6300000000020418E-2</v>
      </c>
      <c r="T197" s="142">
        <v>0</v>
      </c>
      <c r="U197" s="142">
        <v>0</v>
      </c>
      <c r="V197" s="142">
        <v>0</v>
      </c>
      <c r="W197" s="142"/>
      <c r="X197" s="142">
        <v>0</v>
      </c>
      <c r="Y197" s="44"/>
      <c r="Z197" s="144"/>
      <c r="AA197" s="145">
        <v>384.46582000000001</v>
      </c>
      <c r="AB197" s="146">
        <v>343.10064</v>
      </c>
      <c r="AC197" s="147">
        <v>41.365180000000002</v>
      </c>
      <c r="AF197" s="26"/>
      <c r="AG197" s="179">
        <v>2.6300000000020418E-2</v>
      </c>
      <c r="AH197" s="179">
        <v>-2.6300000000020418E-2</v>
      </c>
      <c r="AI197" s="179">
        <v>0</v>
      </c>
      <c r="AJ197" s="179">
        <v>0</v>
      </c>
      <c r="AK197" s="179">
        <v>0</v>
      </c>
      <c r="AL197" s="179"/>
      <c r="AM197" s="179">
        <v>0</v>
      </c>
      <c r="AN197" s="44"/>
      <c r="AO197" s="144"/>
      <c r="AP197" s="145">
        <v>425.83100000000002</v>
      </c>
      <c r="AQ197" s="146">
        <v>384.46582000000001</v>
      </c>
      <c r="AR197" s="147">
        <v>41.365180000000002</v>
      </c>
    </row>
    <row r="198" spans="1:44">
      <c r="A198" s="143"/>
      <c r="B198" s="143"/>
      <c r="C198" s="143"/>
      <c r="D198" s="143"/>
      <c r="E198" s="149"/>
      <c r="F198" s="143"/>
      <c r="G198" s="143"/>
      <c r="H198" s="150"/>
      <c r="I198" s="151"/>
      <c r="J198" s="44"/>
      <c r="K198" s="144"/>
      <c r="L198" s="152">
        <f>L195+L196</f>
        <v>405.14841000000001</v>
      </c>
      <c r="M198" s="153" t="s">
        <v>15</v>
      </c>
      <c r="N198" s="66"/>
      <c r="O198" s="148">
        <f>SUM(C194:K194)</f>
        <v>446.51359000000002</v>
      </c>
      <c r="AA198" s="145">
        <v>425.83100000000002</v>
      </c>
      <c r="AB198" s="221">
        <v>425.83100000000002</v>
      </c>
      <c r="AP198" s="145">
        <v>467.19618000000003</v>
      </c>
      <c r="AQ198" s="221">
        <v>467.19618000000003</v>
      </c>
    </row>
    <row r="199" spans="1:44">
      <c r="A199" s="143"/>
      <c r="B199" s="143"/>
      <c r="C199" s="143"/>
      <c r="D199" s="143"/>
      <c r="E199" s="143"/>
      <c r="F199" s="143"/>
      <c r="G199" s="143"/>
      <c r="H199" s="149"/>
      <c r="I199" s="154"/>
      <c r="J199" s="149"/>
      <c r="K199" s="149"/>
      <c r="L199" s="155">
        <f>SUM(L185:L193)</f>
        <v>446.51359000000002</v>
      </c>
      <c r="M199" s="153">
        <f>M197/N197</f>
        <v>8.7944312100177005</v>
      </c>
      <c r="N199" s="66"/>
      <c r="O199" s="66"/>
      <c r="Y199" s="215" t="s">
        <v>29</v>
      </c>
      <c r="Z199" s="215"/>
      <c r="AA199" s="215">
        <v>3.0004104957680702</v>
      </c>
      <c r="AB199" s="215" t="s">
        <v>30</v>
      </c>
      <c r="AC199" s="215">
        <v>2.0004104957680697</v>
      </c>
      <c r="AN199" s="215" t="s">
        <v>29</v>
      </c>
      <c r="AO199" s="215"/>
      <c r="AP199" s="215">
        <v>3.3232285819930967</v>
      </c>
      <c r="AQ199" s="215" t="s">
        <v>30</v>
      </c>
      <c r="AR199" s="215">
        <v>2.3232285819930962</v>
      </c>
    </row>
    <row r="200" spans="1:44">
      <c r="H200" s="158" t="s">
        <v>18</v>
      </c>
      <c r="I200" s="158"/>
      <c r="K200" s="158"/>
      <c r="L200" s="159">
        <f>L198/L185</f>
        <v>3.1618195388805832</v>
      </c>
      <c r="M200" s="158" t="s">
        <v>19</v>
      </c>
      <c r="N200" s="159">
        <f>(L198-L185)/L185</f>
        <v>2.1618195388805832</v>
      </c>
    </row>
    <row r="202" spans="1:44">
      <c r="A202" s="187" t="s">
        <v>23</v>
      </c>
      <c r="P202" s="187" t="s">
        <v>24</v>
      </c>
      <c r="AE202" s="187" t="s">
        <v>25</v>
      </c>
    </row>
    <row r="203" spans="1:44">
      <c r="B203" s="224" t="s">
        <v>35</v>
      </c>
      <c r="C203" s="28"/>
      <c r="D203" s="28"/>
      <c r="E203" s="28"/>
      <c r="G203" s="29" t="s">
        <v>1</v>
      </c>
      <c r="H203" s="29"/>
      <c r="I203" s="30">
        <v>7</v>
      </c>
      <c r="J203" s="29" t="s">
        <v>2</v>
      </c>
      <c r="K203" s="29"/>
      <c r="L203" s="30">
        <v>10</v>
      </c>
      <c r="M203" s="31">
        <f>L203/I203</f>
        <v>1.4285714285714286</v>
      </c>
      <c r="N203" s="32"/>
      <c r="O203" s="33"/>
      <c r="Q203" s="224" t="s">
        <v>35</v>
      </c>
      <c r="AF203" s="224" t="s">
        <v>35</v>
      </c>
    </row>
    <row r="204" spans="1:44">
      <c r="B204" s="34" t="s">
        <v>3</v>
      </c>
      <c r="C204" s="34"/>
      <c r="D204" s="34"/>
      <c r="E204" s="35"/>
      <c r="F204" s="28"/>
      <c r="G204" s="28"/>
      <c r="H204" s="28"/>
      <c r="I204" s="29" t="s">
        <v>27</v>
      </c>
      <c r="J204" s="28"/>
      <c r="K204" s="28"/>
      <c r="L204" s="32"/>
      <c r="M204" s="32"/>
      <c r="N204" s="32"/>
      <c r="O204" s="33"/>
    </row>
    <row r="205" spans="1:44">
      <c r="B205" s="36" t="s">
        <v>4</v>
      </c>
      <c r="C205" s="37">
        <v>1</v>
      </c>
      <c r="D205" s="38">
        <v>2</v>
      </c>
      <c r="E205" s="39">
        <v>3</v>
      </c>
      <c r="F205" s="40">
        <v>4</v>
      </c>
      <c r="G205" s="41">
        <v>5</v>
      </c>
      <c r="H205" s="42">
        <v>6</v>
      </c>
      <c r="I205" s="43">
        <v>7</v>
      </c>
      <c r="J205" s="44">
        <v>8</v>
      </c>
      <c r="K205" s="45"/>
      <c r="L205" s="46"/>
      <c r="M205" s="46"/>
      <c r="O205" s="32"/>
      <c r="Q205" s="36" t="s">
        <v>4</v>
      </c>
      <c r="R205" s="37">
        <v>1</v>
      </c>
      <c r="S205" s="39">
        <v>2</v>
      </c>
      <c r="T205" s="39">
        <v>3</v>
      </c>
      <c r="U205" s="40">
        <v>4</v>
      </c>
      <c r="V205" s="41">
        <v>5</v>
      </c>
      <c r="W205" s="42">
        <v>6</v>
      </c>
      <c r="X205" s="43">
        <v>7</v>
      </c>
      <c r="Y205" s="44">
        <v>8</v>
      </c>
      <c r="Z205" s="28"/>
      <c r="AA205" s="28"/>
      <c r="AF205" s="36" t="s">
        <v>4</v>
      </c>
      <c r="AG205" s="37">
        <v>1</v>
      </c>
      <c r="AH205" s="39">
        <v>2</v>
      </c>
      <c r="AI205" s="39">
        <v>3</v>
      </c>
      <c r="AJ205" s="40">
        <v>4</v>
      </c>
      <c r="AK205" s="41">
        <v>5</v>
      </c>
      <c r="AL205" s="42">
        <v>6</v>
      </c>
      <c r="AM205" s="43">
        <v>7</v>
      </c>
      <c r="AN205" s="44">
        <v>8</v>
      </c>
      <c r="AO205" s="28"/>
      <c r="AP205" s="28"/>
    </row>
    <row r="206" spans="1:44">
      <c r="A206" s="47" t="s">
        <v>5</v>
      </c>
      <c r="C206" s="37" t="s">
        <v>6</v>
      </c>
      <c r="D206" s="48" t="s">
        <v>59</v>
      </c>
      <c r="E206" s="49" t="s">
        <v>58</v>
      </c>
      <c r="F206" s="40" t="s">
        <v>7</v>
      </c>
      <c r="G206" s="50" t="s">
        <v>8</v>
      </c>
      <c r="H206" s="51" t="s">
        <v>9</v>
      </c>
      <c r="I206" s="43" t="s">
        <v>60</v>
      </c>
      <c r="J206" s="52" t="s">
        <v>10</v>
      </c>
      <c r="K206" s="53"/>
      <c r="L206" s="160" t="s">
        <v>11</v>
      </c>
      <c r="M206" s="161" t="s">
        <v>12</v>
      </c>
      <c r="N206" s="161" t="s">
        <v>13</v>
      </c>
      <c r="O206" s="28"/>
      <c r="R206" s="37" t="s">
        <v>6</v>
      </c>
      <c r="S206" s="48" t="s">
        <v>59</v>
      </c>
      <c r="T206" s="49" t="s">
        <v>58</v>
      </c>
      <c r="U206" s="40" t="s">
        <v>7</v>
      </c>
      <c r="V206" s="50" t="s">
        <v>8</v>
      </c>
      <c r="W206" s="51" t="s">
        <v>9</v>
      </c>
      <c r="X206" s="43" t="s">
        <v>28</v>
      </c>
      <c r="Y206" s="52" t="s">
        <v>10</v>
      </c>
      <c r="Z206" s="180"/>
      <c r="AA206" s="54" t="s">
        <v>11</v>
      </c>
      <c r="AB206" s="55" t="s">
        <v>12</v>
      </c>
      <c r="AC206" s="189" t="s">
        <v>13</v>
      </c>
      <c r="AG206" s="37" t="s">
        <v>6</v>
      </c>
      <c r="AH206" s="48" t="s">
        <v>59</v>
      </c>
      <c r="AI206" s="49" t="s">
        <v>58</v>
      </c>
      <c r="AJ206" s="40" t="s">
        <v>7</v>
      </c>
      <c r="AK206" s="50" t="s">
        <v>8</v>
      </c>
      <c r="AL206" s="51" t="s">
        <v>9</v>
      </c>
      <c r="AM206" s="43" t="s">
        <v>28</v>
      </c>
      <c r="AN206" s="52" t="s">
        <v>10</v>
      </c>
      <c r="AO206" s="180"/>
      <c r="AP206" s="54" t="s">
        <v>11</v>
      </c>
      <c r="AQ206" s="55" t="s">
        <v>12</v>
      </c>
      <c r="AR206" s="189" t="s">
        <v>13</v>
      </c>
    </row>
    <row r="207" spans="1:44">
      <c r="A207" s="37">
        <v>1</v>
      </c>
      <c r="B207" s="37" t="s">
        <v>6</v>
      </c>
      <c r="C207" s="56"/>
      <c r="D207" s="57">
        <v>134.47051999999999</v>
      </c>
      <c r="E207" s="58"/>
      <c r="F207" s="59"/>
      <c r="G207" s="60"/>
      <c r="H207" s="61"/>
      <c r="I207" s="62">
        <v>6.5</v>
      </c>
      <c r="J207" s="171"/>
      <c r="K207" s="53"/>
      <c r="L207" s="64">
        <f t="shared" ref="L207:L214" si="63">SUM(C207:K207)</f>
        <v>140.97051999999999</v>
      </c>
      <c r="M207" s="65">
        <f t="shared" ref="M207:M213" si="64">SUM(C207:I207)</f>
        <v>140.97051999999999</v>
      </c>
      <c r="N207" s="65">
        <f>SUM(J207:K207)</f>
        <v>0</v>
      </c>
      <c r="O207" s="66"/>
      <c r="Q207" s="37" t="s">
        <v>6</v>
      </c>
      <c r="R207" s="190"/>
      <c r="S207" s="191">
        <v>134.47051999999999</v>
      </c>
      <c r="T207" s="192"/>
      <c r="U207" s="193"/>
      <c r="V207" s="194"/>
      <c r="W207" s="195"/>
      <c r="X207" s="196">
        <v>6.5</v>
      </c>
      <c r="Y207" s="171"/>
      <c r="Z207" s="171"/>
      <c r="AA207" s="64">
        <v>140.97051999999999</v>
      </c>
      <c r="AB207" s="65">
        <v>140.97051999999999</v>
      </c>
      <c r="AC207" s="197">
        <v>0</v>
      </c>
      <c r="AF207" s="37" t="s">
        <v>6</v>
      </c>
      <c r="AG207" s="190"/>
      <c r="AH207" s="191">
        <v>134.47051999999999</v>
      </c>
      <c r="AI207" s="192"/>
      <c r="AJ207" s="193"/>
      <c r="AK207" s="194"/>
      <c r="AL207" s="195"/>
      <c r="AM207" s="196">
        <v>6.5</v>
      </c>
      <c r="AN207" s="171"/>
      <c r="AO207" s="171"/>
      <c r="AP207" s="64">
        <v>140.97051999999999</v>
      </c>
      <c r="AQ207" s="65">
        <v>140.97051999999999</v>
      </c>
      <c r="AR207" s="197">
        <v>0</v>
      </c>
    </row>
    <row r="208" spans="1:44">
      <c r="A208" s="38">
        <v>2</v>
      </c>
      <c r="B208" s="38" t="s">
        <v>59</v>
      </c>
      <c r="C208" s="69"/>
      <c r="D208" s="70"/>
      <c r="E208" s="71">
        <v>100.78551999999999</v>
      </c>
      <c r="F208" s="72">
        <v>20.076259999999998</v>
      </c>
      <c r="G208" s="73">
        <v>20.076259999999998</v>
      </c>
      <c r="H208" s="74"/>
      <c r="I208" s="75"/>
      <c r="J208" s="171"/>
      <c r="K208" s="53"/>
      <c r="L208" s="77">
        <f t="shared" si="63"/>
        <v>140.93803999999997</v>
      </c>
      <c r="M208" s="78">
        <f t="shared" si="64"/>
        <v>140.93803999999997</v>
      </c>
      <c r="N208" s="78">
        <f>SUM(J208:K208)</f>
        <v>0</v>
      </c>
      <c r="O208" s="66"/>
      <c r="Q208" s="48" t="s">
        <v>59</v>
      </c>
      <c r="R208" s="198"/>
      <c r="S208" s="199"/>
      <c r="T208" s="175">
        <v>100.78551999999999</v>
      </c>
      <c r="U208" s="176"/>
      <c r="V208" s="177">
        <v>40.152519999999996</v>
      </c>
      <c r="W208" s="178"/>
      <c r="X208" s="200"/>
      <c r="Y208" s="171"/>
      <c r="Z208" s="171"/>
      <c r="AA208" s="77">
        <v>140.93804</v>
      </c>
      <c r="AB208" s="86">
        <v>140.93804</v>
      </c>
      <c r="AC208" s="201">
        <v>0</v>
      </c>
      <c r="AF208" s="48" t="s">
        <v>59</v>
      </c>
      <c r="AG208" s="198"/>
      <c r="AH208" s="199"/>
      <c r="AI208" s="175">
        <v>100.78551999999999</v>
      </c>
      <c r="AJ208" s="176">
        <v>40.152519999999996</v>
      </c>
      <c r="AK208" s="177"/>
      <c r="AL208" s="178"/>
      <c r="AM208" s="200"/>
      <c r="AN208" s="171"/>
      <c r="AO208" s="171"/>
      <c r="AP208" s="77">
        <v>140.93804</v>
      </c>
      <c r="AQ208" s="86">
        <v>140.93804</v>
      </c>
      <c r="AR208" s="201">
        <v>0</v>
      </c>
    </row>
    <row r="209" spans="1:44">
      <c r="A209" s="39">
        <v>3</v>
      </c>
      <c r="B209" s="49" t="s">
        <v>58</v>
      </c>
      <c r="C209" s="69">
        <v>100.78551999999999</v>
      </c>
      <c r="D209" s="79"/>
      <c r="E209" s="80"/>
      <c r="F209" s="81"/>
      <c r="G209" s="82"/>
      <c r="H209" s="83"/>
      <c r="I209" s="84"/>
      <c r="J209" s="171"/>
      <c r="K209" s="53"/>
      <c r="L209" s="85">
        <f t="shared" si="63"/>
        <v>100.78551999999999</v>
      </c>
      <c r="M209" s="86">
        <f t="shared" si="64"/>
        <v>100.78551999999999</v>
      </c>
      <c r="N209" s="86">
        <f t="shared" ref="N209:N213" si="65">SUM(J209:K209)</f>
        <v>0</v>
      </c>
      <c r="O209" s="66"/>
      <c r="Q209" s="49" t="s">
        <v>58</v>
      </c>
      <c r="R209" s="198">
        <v>100.78551999999999</v>
      </c>
      <c r="S209" s="199"/>
      <c r="T209" s="175"/>
      <c r="U209" s="176"/>
      <c r="V209" s="177"/>
      <c r="W209" s="178"/>
      <c r="X209" s="202"/>
      <c r="Y209" s="171"/>
      <c r="Z209" s="171"/>
      <c r="AA209" s="85">
        <v>100.78551999999999</v>
      </c>
      <c r="AB209" s="86">
        <v>100.78551999999999</v>
      </c>
      <c r="AC209" s="201">
        <v>0</v>
      </c>
      <c r="AF209" s="49" t="s">
        <v>58</v>
      </c>
      <c r="AG209" s="198">
        <v>100.78551999999999</v>
      </c>
      <c r="AH209" s="199"/>
      <c r="AI209" s="175"/>
      <c r="AJ209" s="176"/>
      <c r="AK209" s="177"/>
      <c r="AL209" s="178"/>
      <c r="AM209" s="202"/>
      <c r="AN209" s="171"/>
      <c r="AO209" s="171"/>
      <c r="AP209" s="85">
        <v>100.78551999999999</v>
      </c>
      <c r="AQ209" s="86">
        <v>100.78551999999999</v>
      </c>
      <c r="AR209" s="201">
        <v>0</v>
      </c>
    </row>
    <row r="210" spans="1:44">
      <c r="A210" s="40">
        <v>4</v>
      </c>
      <c r="B210" s="40" t="s">
        <v>7</v>
      </c>
      <c r="C210" s="87"/>
      <c r="D210" s="79"/>
      <c r="E210" s="71"/>
      <c r="F210" s="81"/>
      <c r="G210" s="73">
        <v>20.076259999999998</v>
      </c>
      <c r="H210" s="74"/>
      <c r="I210" s="84"/>
      <c r="J210" s="172"/>
      <c r="K210" s="53"/>
      <c r="L210" s="89">
        <f t="shared" si="63"/>
        <v>20.076259999999998</v>
      </c>
      <c r="M210" s="90">
        <f t="shared" si="64"/>
        <v>20.076259999999998</v>
      </c>
      <c r="N210" s="90">
        <f t="shared" si="65"/>
        <v>0</v>
      </c>
      <c r="O210" s="66"/>
      <c r="Q210" s="40" t="s">
        <v>7</v>
      </c>
      <c r="R210" s="198"/>
      <c r="S210" s="199"/>
      <c r="T210" s="175"/>
      <c r="U210" s="176"/>
      <c r="V210" s="177"/>
      <c r="W210" s="178"/>
      <c r="X210" s="202"/>
      <c r="Y210" s="172"/>
      <c r="Z210" s="171"/>
      <c r="AA210" s="89">
        <v>0</v>
      </c>
      <c r="AB210" s="90">
        <v>0</v>
      </c>
      <c r="AC210" s="203">
        <v>0</v>
      </c>
      <c r="AF210" s="40" t="s">
        <v>7</v>
      </c>
      <c r="AG210" s="198"/>
      <c r="AH210" s="199"/>
      <c r="AI210" s="175"/>
      <c r="AJ210" s="176"/>
      <c r="AK210" s="177">
        <v>40.152519999999996</v>
      </c>
      <c r="AL210" s="178"/>
      <c r="AM210" s="202"/>
      <c r="AN210" s="172"/>
      <c r="AO210" s="171"/>
      <c r="AP210" s="89">
        <v>40.152519999999996</v>
      </c>
      <c r="AQ210" s="90">
        <v>40.152519999999996</v>
      </c>
      <c r="AR210" s="203">
        <v>0</v>
      </c>
    </row>
    <row r="211" spans="1:44">
      <c r="A211" s="41">
        <v>5</v>
      </c>
      <c r="B211" s="50" t="s">
        <v>8</v>
      </c>
      <c r="C211" s="69"/>
      <c r="D211" s="79"/>
      <c r="E211" s="71"/>
      <c r="F211" s="72"/>
      <c r="G211" s="82"/>
      <c r="H211" s="74"/>
      <c r="I211" s="75"/>
      <c r="J211" s="172">
        <v>40.152519999999996</v>
      </c>
      <c r="K211" s="53"/>
      <c r="L211" s="91">
        <f t="shared" si="63"/>
        <v>40.152519999999996</v>
      </c>
      <c r="M211" s="92">
        <f t="shared" si="64"/>
        <v>0</v>
      </c>
      <c r="N211" s="92">
        <f t="shared" si="65"/>
        <v>40.152519999999996</v>
      </c>
      <c r="O211" s="66"/>
      <c r="Q211" s="50" t="s">
        <v>8</v>
      </c>
      <c r="R211" s="198"/>
      <c r="S211" s="199"/>
      <c r="T211" s="175"/>
      <c r="U211" s="176"/>
      <c r="V211" s="177"/>
      <c r="W211" s="178"/>
      <c r="X211" s="200"/>
      <c r="Y211" s="172">
        <v>40.152519999999996</v>
      </c>
      <c r="Z211" s="171"/>
      <c r="AA211" s="91">
        <v>40.152519999999996</v>
      </c>
      <c r="AB211" s="92">
        <v>0</v>
      </c>
      <c r="AC211" s="204">
        <v>40.152519999999996</v>
      </c>
      <c r="AF211" s="50" t="s">
        <v>8</v>
      </c>
      <c r="AG211" s="198"/>
      <c r="AH211" s="199"/>
      <c r="AI211" s="175"/>
      <c r="AJ211" s="176"/>
      <c r="AK211" s="177"/>
      <c r="AL211" s="178"/>
      <c r="AM211" s="200"/>
      <c r="AN211" s="172">
        <v>40.152519999999996</v>
      </c>
      <c r="AO211" s="171"/>
      <c r="AP211" s="91">
        <v>40.152519999999996</v>
      </c>
      <c r="AQ211" s="92">
        <v>0</v>
      </c>
      <c r="AR211" s="204">
        <v>40.152519999999996</v>
      </c>
    </row>
    <row r="212" spans="1:44">
      <c r="A212" s="42">
        <v>6</v>
      </c>
      <c r="B212" s="51" t="s">
        <v>9</v>
      </c>
      <c r="C212" s="69"/>
      <c r="D212" s="79"/>
      <c r="E212" s="80"/>
      <c r="F212" s="72"/>
      <c r="G212" s="73"/>
      <c r="H212" s="83"/>
      <c r="I212" s="84"/>
      <c r="J212" s="172"/>
      <c r="K212" s="53"/>
      <c r="L212" s="93">
        <f t="shared" si="63"/>
        <v>0</v>
      </c>
      <c r="M212" s="94">
        <f t="shared" si="64"/>
        <v>0</v>
      </c>
      <c r="N212" s="94">
        <f t="shared" si="65"/>
        <v>0</v>
      </c>
      <c r="O212" s="66"/>
      <c r="Q212" s="51" t="s">
        <v>9</v>
      </c>
      <c r="R212" s="198"/>
      <c r="S212" s="199"/>
      <c r="T212" s="175"/>
      <c r="U212" s="176"/>
      <c r="V212" s="177"/>
      <c r="W212" s="178"/>
      <c r="X212" s="202"/>
      <c r="Y212" s="172"/>
      <c r="Z212" s="171"/>
      <c r="AA212" s="93">
        <v>0</v>
      </c>
      <c r="AB212" s="94">
        <v>0</v>
      </c>
      <c r="AC212" s="205">
        <v>0</v>
      </c>
      <c r="AF212" s="51" t="s">
        <v>9</v>
      </c>
      <c r="AG212" s="198"/>
      <c r="AH212" s="199"/>
      <c r="AI212" s="175"/>
      <c r="AJ212" s="176"/>
      <c r="AK212" s="177"/>
      <c r="AL212" s="178"/>
      <c r="AM212" s="202"/>
      <c r="AN212" s="172"/>
      <c r="AO212" s="171"/>
      <c r="AP212" s="93">
        <v>0</v>
      </c>
      <c r="AQ212" s="94">
        <v>0</v>
      </c>
      <c r="AR212" s="205">
        <v>0</v>
      </c>
    </row>
    <row r="213" spans="1:44">
      <c r="A213" s="43">
        <v>7</v>
      </c>
      <c r="B213" s="43" t="s">
        <v>60</v>
      </c>
      <c r="C213" s="95"/>
      <c r="D213" s="96">
        <v>6.5</v>
      </c>
      <c r="E213" s="97"/>
      <c r="F213" s="98"/>
      <c r="G213" s="99"/>
      <c r="H213" s="100"/>
      <c r="I213" s="101"/>
      <c r="J213" s="171"/>
      <c r="K213" s="53"/>
      <c r="L213" s="102">
        <f t="shared" si="63"/>
        <v>6.5</v>
      </c>
      <c r="M213" s="103">
        <f t="shared" si="64"/>
        <v>6.5</v>
      </c>
      <c r="N213" s="103">
        <f t="shared" si="65"/>
        <v>0</v>
      </c>
      <c r="O213" s="66"/>
      <c r="Q213" s="43" t="s">
        <v>28</v>
      </c>
      <c r="R213" s="206"/>
      <c r="S213" s="207">
        <v>6.5</v>
      </c>
      <c r="T213" s="208"/>
      <c r="U213" s="209"/>
      <c r="V213" s="210"/>
      <c r="W213" s="211"/>
      <c r="X213" s="212"/>
      <c r="Y213" s="171"/>
      <c r="Z213" s="171"/>
      <c r="AA213" s="102">
        <v>6.5</v>
      </c>
      <c r="AB213" s="103">
        <v>6.5</v>
      </c>
      <c r="AC213" s="213">
        <v>0</v>
      </c>
      <c r="AF213" s="43" t="s">
        <v>28</v>
      </c>
      <c r="AG213" s="206"/>
      <c r="AH213" s="207">
        <v>6.5</v>
      </c>
      <c r="AI213" s="208"/>
      <c r="AJ213" s="209"/>
      <c r="AK213" s="210"/>
      <c r="AL213" s="211"/>
      <c r="AM213" s="212"/>
      <c r="AN213" s="171"/>
      <c r="AO213" s="171"/>
      <c r="AP213" s="102">
        <v>6.5</v>
      </c>
      <c r="AQ213" s="103">
        <v>6.5</v>
      </c>
      <c r="AR213" s="213">
        <v>0</v>
      </c>
    </row>
    <row r="214" spans="1:44">
      <c r="A214" s="44">
        <v>8</v>
      </c>
      <c r="B214" s="52" t="s">
        <v>10</v>
      </c>
      <c r="C214" s="173">
        <v>40.152519999999996</v>
      </c>
      <c r="D214" s="174"/>
      <c r="E214" s="175"/>
      <c r="F214" s="176"/>
      <c r="G214" s="177"/>
      <c r="H214" s="178"/>
      <c r="I214" s="179"/>
      <c r="J214" s="171"/>
      <c r="K214" s="53"/>
      <c r="L214" s="102">
        <f t="shared" si="63"/>
        <v>40.152519999999996</v>
      </c>
      <c r="M214" s="106"/>
      <c r="N214" s="66"/>
      <c r="O214" s="66"/>
      <c r="Q214" s="52" t="s">
        <v>10</v>
      </c>
      <c r="R214" s="173">
        <v>40.152519999999996</v>
      </c>
      <c r="S214" s="174"/>
      <c r="T214" s="175"/>
      <c r="U214" s="176"/>
      <c r="V214" s="177"/>
      <c r="W214" s="178"/>
      <c r="X214" s="179"/>
      <c r="Y214" s="171"/>
      <c r="Z214" s="171"/>
      <c r="AA214" s="102">
        <v>40.152519999999996</v>
      </c>
      <c r="AB214" s="106"/>
      <c r="AC214" s="214"/>
      <c r="AF214" s="52" t="s">
        <v>10</v>
      </c>
      <c r="AG214" s="173">
        <v>40.152519999999996</v>
      </c>
      <c r="AH214" s="174"/>
      <c r="AI214" s="175"/>
      <c r="AJ214" s="176"/>
      <c r="AK214" s="177"/>
      <c r="AL214" s="178"/>
      <c r="AM214" s="179"/>
      <c r="AN214" s="171"/>
      <c r="AO214" s="171"/>
      <c r="AP214" s="102">
        <v>40.152519999999996</v>
      </c>
      <c r="AQ214" s="106"/>
      <c r="AR214" s="214"/>
    </row>
    <row r="215" spans="1:44">
      <c r="A215" s="45"/>
      <c r="B215" s="107"/>
      <c r="C215" s="107"/>
      <c r="D215" s="108"/>
      <c r="E215" s="109"/>
      <c r="F215" s="110"/>
      <c r="G215" s="111"/>
      <c r="H215" s="112"/>
      <c r="I215" s="112"/>
      <c r="J215" s="112"/>
      <c r="K215" s="53"/>
      <c r="L215" s="102"/>
      <c r="M215" s="113"/>
      <c r="N215" s="114"/>
      <c r="O215" s="115"/>
      <c r="Q215" s="180"/>
      <c r="R215" s="199"/>
      <c r="S215" s="199"/>
      <c r="T215" s="175"/>
      <c r="U215" s="215"/>
      <c r="V215" s="177"/>
      <c r="W215" s="178"/>
      <c r="X215" s="215"/>
      <c r="Y215" s="216"/>
      <c r="Z215" s="217"/>
      <c r="AA215" s="102"/>
      <c r="AB215" s="113"/>
      <c r="AC215" s="218"/>
      <c r="AF215" s="180"/>
      <c r="AG215" s="199"/>
      <c r="AH215" s="199"/>
      <c r="AI215" s="175"/>
      <c r="AJ215" s="215"/>
      <c r="AK215" s="177"/>
      <c r="AL215" s="178"/>
      <c r="AM215" s="215"/>
      <c r="AN215" s="216"/>
      <c r="AO215" s="217"/>
      <c r="AP215" s="102"/>
      <c r="AQ215" s="113"/>
      <c r="AR215" s="218"/>
    </row>
    <row r="216" spans="1:44">
      <c r="B216" s="116" t="s">
        <v>14</v>
      </c>
      <c r="C216" s="117">
        <f t="shared" ref="C216:G216" si="66">SUM(C207:C215)</f>
        <v>140.93804</v>
      </c>
      <c r="D216" s="118">
        <f t="shared" si="66"/>
        <v>140.97051999999999</v>
      </c>
      <c r="E216" s="119">
        <f t="shared" si="66"/>
        <v>100.78551999999999</v>
      </c>
      <c r="F216" s="120">
        <f t="shared" si="66"/>
        <v>20.076259999999998</v>
      </c>
      <c r="G216" s="121">
        <f t="shared" si="66"/>
        <v>40.152519999999996</v>
      </c>
      <c r="H216" s="122">
        <f>SUM(H207:H215)</f>
        <v>0</v>
      </c>
      <c r="I216" s="219">
        <f>SUM(I207:I215)</f>
        <v>6.5</v>
      </c>
      <c r="J216" s="124">
        <f t="shared" ref="J216" si="67">SUM(J207:J215)</f>
        <v>40.152519999999996</v>
      </c>
      <c r="K216" s="125"/>
      <c r="L216" s="126">
        <f>SUM(C216:I216)</f>
        <v>449.42285999999996</v>
      </c>
      <c r="M216" s="127" t="s">
        <v>15</v>
      </c>
      <c r="N216" s="128"/>
      <c r="Q216" s="116" t="s">
        <v>14</v>
      </c>
      <c r="R216" s="117">
        <v>140.93804</v>
      </c>
      <c r="S216" s="118">
        <v>140.97051999999999</v>
      </c>
      <c r="T216" s="119">
        <v>100.78551999999999</v>
      </c>
      <c r="U216" s="120">
        <v>0</v>
      </c>
      <c r="V216" s="121">
        <v>40.152519999999996</v>
      </c>
      <c r="W216" s="122">
        <v>0</v>
      </c>
      <c r="X216" s="219">
        <v>6.5</v>
      </c>
      <c r="Y216" s="124">
        <v>40.152519999999996</v>
      </c>
      <c r="Z216" s="125"/>
      <c r="AA216" s="126">
        <v>429.34659999999997</v>
      </c>
      <c r="AB216" s="127" t="s">
        <v>15</v>
      </c>
      <c r="AC216" s="128"/>
      <c r="AF216" s="116" t="s">
        <v>14</v>
      </c>
      <c r="AG216" s="117">
        <v>140.93804</v>
      </c>
      <c r="AH216" s="118">
        <v>140.97051999999999</v>
      </c>
      <c r="AI216" s="119">
        <v>100.78551999999999</v>
      </c>
      <c r="AJ216" s="120">
        <v>40.152519999999996</v>
      </c>
      <c r="AK216" s="121">
        <v>40.152519999999996</v>
      </c>
      <c r="AL216" s="122">
        <v>0</v>
      </c>
      <c r="AM216" s="219">
        <v>6.5</v>
      </c>
      <c r="AN216" s="124">
        <v>40.152519999999996</v>
      </c>
      <c r="AO216" s="125"/>
      <c r="AP216" s="126">
        <v>469.49911999999995</v>
      </c>
      <c r="AQ216" s="127" t="s">
        <v>15</v>
      </c>
      <c r="AR216" s="128"/>
    </row>
    <row r="217" spans="1:44">
      <c r="B217" s="129" t="s">
        <v>16</v>
      </c>
      <c r="C217" s="65">
        <f t="shared" ref="C217:I217" si="68">SUM(C207:C213)</f>
        <v>100.78551999999999</v>
      </c>
      <c r="D217" s="78">
        <f t="shared" si="68"/>
        <v>140.97051999999999</v>
      </c>
      <c r="E217" s="86">
        <f t="shared" si="68"/>
        <v>100.78551999999999</v>
      </c>
      <c r="F217" s="90">
        <f t="shared" si="68"/>
        <v>20.076259999999998</v>
      </c>
      <c r="G217" s="92">
        <f t="shared" si="68"/>
        <v>40.152519999999996</v>
      </c>
      <c r="H217" s="94">
        <f t="shared" si="68"/>
        <v>0</v>
      </c>
      <c r="I217" s="103">
        <f t="shared" si="68"/>
        <v>6.5</v>
      </c>
      <c r="K217" s="26"/>
      <c r="L217" s="130">
        <f>SUM(C217:I217)</f>
        <v>409.27033999999998</v>
      </c>
      <c r="M217" s="127">
        <f>L217/L218</f>
        <v>10.192892998994834</v>
      </c>
      <c r="N217" s="66"/>
      <c r="O217" s="131"/>
      <c r="Q217" s="129" t="s">
        <v>16</v>
      </c>
      <c r="R217" s="65">
        <v>100.78551999999999</v>
      </c>
      <c r="S217" s="86">
        <v>140.97051999999999</v>
      </c>
      <c r="T217" s="86">
        <v>100.78551999999999</v>
      </c>
      <c r="U217" s="90">
        <v>0</v>
      </c>
      <c r="V217" s="92">
        <v>40.152519999999996</v>
      </c>
      <c r="W217" s="94">
        <v>0</v>
      </c>
      <c r="X217" s="103">
        <v>6.5</v>
      </c>
      <c r="Y217" s="142"/>
      <c r="Z217" s="179"/>
      <c r="AA217" s="130">
        <v>389.19407999999999</v>
      </c>
      <c r="AB217" s="127">
        <v>9.692892998994834</v>
      </c>
      <c r="AC217" s="66"/>
      <c r="AF217" s="129" t="s">
        <v>16</v>
      </c>
      <c r="AG217" s="65">
        <v>100.78551999999999</v>
      </c>
      <c r="AH217" s="86">
        <v>140.97051999999999</v>
      </c>
      <c r="AI217" s="86">
        <v>100.78551999999999</v>
      </c>
      <c r="AJ217" s="90">
        <v>40.152519999999996</v>
      </c>
      <c r="AK217" s="92">
        <v>40.152519999999996</v>
      </c>
      <c r="AL217" s="94">
        <v>0</v>
      </c>
      <c r="AM217" s="103">
        <v>6.5</v>
      </c>
      <c r="AN217" s="142"/>
      <c r="AO217" s="179"/>
      <c r="AP217" s="130">
        <v>429.34659999999997</v>
      </c>
      <c r="AQ217" s="127">
        <v>10.692892998994832</v>
      </c>
      <c r="AR217" s="66"/>
    </row>
    <row r="218" spans="1:44">
      <c r="B218" s="132" t="s">
        <v>17</v>
      </c>
      <c r="C218" s="133">
        <f>C214+C215</f>
        <v>40.152519999999996</v>
      </c>
      <c r="D218" s="134">
        <f>D214+D215</f>
        <v>0</v>
      </c>
      <c r="E218" s="135">
        <f t="shared" ref="E218:H218" si="69">E214+E215</f>
        <v>0</v>
      </c>
      <c r="F218" s="136">
        <f t="shared" si="69"/>
        <v>0</v>
      </c>
      <c r="G218" s="137">
        <f t="shared" si="69"/>
        <v>0</v>
      </c>
      <c r="H218" s="138">
        <f t="shared" si="69"/>
        <v>0</v>
      </c>
      <c r="I218" s="139">
        <f>I214+I215</f>
        <v>0</v>
      </c>
      <c r="J218" s="140"/>
      <c r="K218" s="141"/>
      <c r="L218" s="130">
        <f>SUM(C218:I218)</f>
        <v>40.152519999999996</v>
      </c>
      <c r="M218" s="142"/>
      <c r="N218" s="66"/>
      <c r="O218" s="66"/>
      <c r="Q218" s="132" t="s">
        <v>17</v>
      </c>
      <c r="R218" s="133">
        <v>40.152519999999996</v>
      </c>
      <c r="S218" s="135">
        <v>0</v>
      </c>
      <c r="T218" s="135">
        <v>0</v>
      </c>
      <c r="U218" s="136">
        <v>0</v>
      </c>
      <c r="V218" s="137">
        <v>0</v>
      </c>
      <c r="W218" s="138">
        <v>0</v>
      </c>
      <c r="X218" s="139">
        <v>0</v>
      </c>
      <c r="Y218" s="220"/>
      <c r="Z218" s="209"/>
      <c r="AA218" s="130">
        <v>40.152519999999996</v>
      </c>
      <c r="AB218" s="142"/>
      <c r="AC218" s="66"/>
      <c r="AF218" s="132" t="s">
        <v>17</v>
      </c>
      <c r="AG218" s="133">
        <v>40.152519999999996</v>
      </c>
      <c r="AH218" s="135">
        <v>0</v>
      </c>
      <c r="AI218" s="135">
        <v>0</v>
      </c>
      <c r="AJ218" s="136">
        <v>0</v>
      </c>
      <c r="AK218" s="137">
        <v>0</v>
      </c>
      <c r="AL218" s="138">
        <v>0</v>
      </c>
      <c r="AM218" s="139">
        <v>0</v>
      </c>
      <c r="AN218" s="220"/>
      <c r="AO218" s="209"/>
      <c r="AP218" s="130">
        <v>40.152519999999996</v>
      </c>
      <c r="AQ218" s="142"/>
      <c r="AR218" s="66"/>
    </row>
    <row r="219" spans="1:44">
      <c r="A219" s="143"/>
      <c r="B219" s="26"/>
      <c r="C219" s="142">
        <f>C216-L207</f>
        <v>-3.2479999999992515E-2</v>
      </c>
      <c r="D219" s="142">
        <f>D216-L208</f>
        <v>3.2480000000020937E-2</v>
      </c>
      <c r="E219" s="142">
        <f>E216-L209</f>
        <v>0</v>
      </c>
      <c r="F219" s="142">
        <f>F216-L210</f>
        <v>0</v>
      </c>
      <c r="G219" s="142">
        <f>G216-L211</f>
        <v>0</v>
      </c>
      <c r="H219" s="142">
        <f>H216-L212</f>
        <v>0</v>
      </c>
      <c r="I219" s="142">
        <f>I216-L213</f>
        <v>0</v>
      </c>
      <c r="J219" s="44"/>
      <c r="K219" s="144"/>
      <c r="L219" s="145">
        <f>SUM(L207:L215)</f>
        <v>489.57537999999994</v>
      </c>
      <c r="M219" s="146">
        <f>SUM(M207:M213)</f>
        <v>409.27033999999998</v>
      </c>
      <c r="N219" s="147">
        <f>SUM(N207:N213)</f>
        <v>40.152519999999996</v>
      </c>
      <c r="O219" s="148">
        <f>M219+N219</f>
        <v>449.42285999999996</v>
      </c>
      <c r="Q219" s="26"/>
      <c r="R219" s="142">
        <v>-3.2479999999992515E-2</v>
      </c>
      <c r="S219" s="142">
        <v>3.2479999999992515E-2</v>
      </c>
      <c r="T219" s="142">
        <v>0</v>
      </c>
      <c r="U219" s="142">
        <v>0</v>
      </c>
      <c r="V219" s="142">
        <v>0</v>
      </c>
      <c r="W219" s="142"/>
      <c r="X219" s="142">
        <v>0</v>
      </c>
      <c r="Y219" s="44"/>
      <c r="Z219" s="144"/>
      <c r="AA219" s="145">
        <v>429.34659999999997</v>
      </c>
      <c r="AB219" s="146">
        <v>389.19407999999999</v>
      </c>
      <c r="AC219" s="147">
        <v>40.152519999999996</v>
      </c>
      <c r="AF219" s="26"/>
      <c r="AG219" s="179">
        <v>-3.2479999999992515E-2</v>
      </c>
      <c r="AH219" s="179">
        <v>3.2479999999992515E-2</v>
      </c>
      <c r="AI219" s="179">
        <v>0</v>
      </c>
      <c r="AJ219" s="179">
        <v>0</v>
      </c>
      <c r="AK219" s="179">
        <v>0</v>
      </c>
      <c r="AL219" s="179"/>
      <c r="AM219" s="179">
        <v>0</v>
      </c>
      <c r="AN219" s="44"/>
      <c r="AO219" s="144"/>
      <c r="AP219" s="145">
        <v>469.49911999999995</v>
      </c>
      <c r="AQ219" s="146">
        <v>429.34659999999997</v>
      </c>
      <c r="AR219" s="147">
        <v>40.152519999999996</v>
      </c>
    </row>
    <row r="220" spans="1:44">
      <c r="A220" s="143"/>
      <c r="B220" s="143"/>
      <c r="C220" s="143"/>
      <c r="D220" s="143"/>
      <c r="E220" s="149"/>
      <c r="F220" s="143"/>
      <c r="G220" s="143"/>
      <c r="H220" s="150"/>
      <c r="I220" s="151"/>
      <c r="J220" s="44"/>
      <c r="K220" s="144"/>
      <c r="L220" s="152">
        <f>L217+L218</f>
        <v>449.42285999999996</v>
      </c>
      <c r="M220" s="153" t="s">
        <v>15</v>
      </c>
      <c r="N220" s="66"/>
      <c r="O220" s="148">
        <f>SUM(C216:K216)</f>
        <v>489.57537999999994</v>
      </c>
      <c r="AA220" s="145">
        <v>469.49911999999995</v>
      </c>
      <c r="AB220" s="221">
        <v>469.49911999999995</v>
      </c>
      <c r="AP220" s="145">
        <v>509.65163999999993</v>
      </c>
      <c r="AQ220" s="221">
        <v>509.65163999999993</v>
      </c>
    </row>
    <row r="221" spans="1:44">
      <c r="A221" s="143"/>
      <c r="B221" s="143"/>
      <c r="C221" s="143"/>
      <c r="D221" s="143"/>
      <c r="E221" s="143"/>
      <c r="F221" s="143"/>
      <c r="G221" s="143"/>
      <c r="H221" s="149"/>
      <c r="I221" s="154"/>
      <c r="J221" s="149"/>
      <c r="K221" s="149"/>
      <c r="L221" s="155">
        <f>SUM(L207:L215)</f>
        <v>489.57537999999994</v>
      </c>
      <c r="M221" s="153">
        <f>M219/N219</f>
        <v>10.192892998994834</v>
      </c>
      <c r="N221" s="66"/>
      <c r="O221" s="66"/>
      <c r="Y221" s="215" t="s">
        <v>29</v>
      </c>
      <c r="Z221" s="215"/>
      <c r="AA221" s="215">
        <v>3.045648125579731</v>
      </c>
      <c r="AB221" s="215" t="s">
        <v>30</v>
      </c>
      <c r="AC221" s="215">
        <v>2.0456481255797314</v>
      </c>
      <c r="AN221" s="215" t="s">
        <v>29</v>
      </c>
      <c r="AO221" s="215"/>
      <c r="AP221" s="215">
        <v>3.330477322492674</v>
      </c>
      <c r="AQ221" s="215" t="s">
        <v>30</v>
      </c>
      <c r="AR221" s="215">
        <v>2.3304773224926745</v>
      </c>
    </row>
    <row r="222" spans="1:44">
      <c r="H222" s="158" t="s">
        <v>18</v>
      </c>
      <c r="I222" s="158"/>
      <c r="K222" s="158"/>
      <c r="L222" s="159">
        <f>L220/L207</f>
        <v>3.1880627240362025</v>
      </c>
      <c r="M222" s="158" t="s">
        <v>19</v>
      </c>
      <c r="N222" s="159">
        <f>(L220-L207)/L207</f>
        <v>2.1880627240362025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5"/>
  <sheetViews>
    <sheetView tabSelected="1" workbookViewId="0">
      <selection activeCell="E66" sqref="E66"/>
    </sheetView>
  </sheetViews>
  <sheetFormatPr defaultRowHeight="15.75"/>
  <cols>
    <col min="1" max="1" width="22.5" style="10" customWidth="1"/>
    <col min="2" max="9" width="10.625" style="11" customWidth="1"/>
    <col min="10" max="10" width="12.625" style="11" customWidth="1"/>
  </cols>
  <sheetData>
    <row r="1" spans="1:12">
      <c r="A1" s="4" t="s">
        <v>52</v>
      </c>
      <c r="B1" s="5" t="s">
        <v>6</v>
      </c>
      <c r="C1" s="5" t="s">
        <v>59</v>
      </c>
      <c r="D1" s="5" t="s">
        <v>58</v>
      </c>
      <c r="E1" s="5" t="s">
        <v>7</v>
      </c>
      <c r="F1" s="5" t="s">
        <v>8</v>
      </c>
      <c r="G1" s="5" t="s">
        <v>9</v>
      </c>
      <c r="H1" s="5" t="s">
        <v>28</v>
      </c>
      <c r="I1" s="5" t="s">
        <v>10</v>
      </c>
      <c r="J1" s="6" t="s">
        <v>36</v>
      </c>
      <c r="K1" s="3"/>
      <c r="L1" s="3"/>
    </row>
    <row r="2" spans="1:12">
      <c r="A2" s="7" t="s">
        <v>6</v>
      </c>
      <c r="B2" s="16"/>
      <c r="C2" s="16">
        <v>116</v>
      </c>
      <c r="D2" s="16"/>
      <c r="E2" s="16"/>
      <c r="F2" s="16"/>
      <c r="G2" s="16">
        <v>2.7</v>
      </c>
      <c r="H2" s="17">
        <v>2.9</v>
      </c>
      <c r="I2" s="16"/>
      <c r="J2" s="18">
        <f>SUM(B2:I2)</f>
        <v>121.60000000000001</v>
      </c>
      <c r="K2" s="3"/>
      <c r="L2" s="3"/>
    </row>
    <row r="3" spans="1:12">
      <c r="A3" s="7" t="s">
        <v>59</v>
      </c>
      <c r="B3" s="16"/>
      <c r="C3" s="16"/>
      <c r="D3" s="16">
        <v>71</v>
      </c>
      <c r="E3" s="16">
        <v>46</v>
      </c>
      <c r="F3" s="16"/>
      <c r="G3" s="16"/>
      <c r="H3" s="16"/>
      <c r="I3" s="16"/>
      <c r="J3" s="18">
        <f t="shared" ref="J3:J9" si="0">SUM(B3:I3)</f>
        <v>117</v>
      </c>
      <c r="K3" s="3"/>
      <c r="L3" s="3"/>
    </row>
    <row r="4" spans="1:12">
      <c r="A4" s="7" t="s">
        <v>58</v>
      </c>
      <c r="B4" s="16">
        <v>71</v>
      </c>
      <c r="C4" s="16"/>
      <c r="D4" s="16"/>
      <c r="E4" s="16"/>
      <c r="F4" s="16"/>
      <c r="G4" s="16"/>
      <c r="H4" s="16"/>
      <c r="I4" s="16"/>
      <c r="J4" s="18">
        <f t="shared" si="0"/>
        <v>71</v>
      </c>
      <c r="K4" s="3"/>
      <c r="L4" s="3"/>
    </row>
    <row r="5" spans="1:12">
      <c r="A5" s="7" t="s">
        <v>7</v>
      </c>
      <c r="B5" s="16"/>
      <c r="C5" s="16"/>
      <c r="D5" s="16"/>
      <c r="E5" s="16"/>
      <c r="F5" s="16">
        <v>43.8</v>
      </c>
      <c r="G5" s="16"/>
      <c r="H5" s="16"/>
      <c r="I5" s="16">
        <v>2.2000000000000002</v>
      </c>
      <c r="J5" s="18">
        <f t="shared" si="0"/>
        <v>46</v>
      </c>
      <c r="K5" s="3"/>
      <c r="L5" s="3"/>
    </row>
    <row r="6" spans="1:12">
      <c r="A6" s="7" t="s">
        <v>8</v>
      </c>
      <c r="B6" s="16">
        <v>1</v>
      </c>
      <c r="C6" s="16"/>
      <c r="D6" s="16"/>
      <c r="E6" s="16"/>
      <c r="F6" s="16"/>
      <c r="G6" s="16"/>
      <c r="H6" s="16"/>
      <c r="I6" s="16">
        <v>44.7</v>
      </c>
      <c r="J6" s="18">
        <f t="shared" si="0"/>
        <v>45.7</v>
      </c>
      <c r="K6" s="3"/>
      <c r="L6" s="3"/>
    </row>
    <row r="7" spans="1:12">
      <c r="A7" s="7" t="s">
        <v>9</v>
      </c>
      <c r="B7" s="16"/>
      <c r="C7" s="16"/>
      <c r="D7" s="16"/>
      <c r="E7" s="16"/>
      <c r="F7" s="16"/>
      <c r="G7" s="16"/>
      <c r="H7" s="16"/>
      <c r="I7" s="16">
        <v>2.7</v>
      </c>
      <c r="J7" s="18">
        <f t="shared" si="0"/>
        <v>2.7</v>
      </c>
      <c r="K7" s="3"/>
      <c r="L7" s="3"/>
    </row>
    <row r="8" spans="1:12">
      <c r="A8" s="7" t="s">
        <v>28</v>
      </c>
      <c r="B8" s="16"/>
      <c r="C8" s="17">
        <v>1</v>
      </c>
      <c r="D8" s="16"/>
      <c r="E8" s="16"/>
      <c r="F8" s="17">
        <v>1.9</v>
      </c>
      <c r="G8" s="16"/>
      <c r="H8" s="16"/>
      <c r="I8" s="16"/>
      <c r="J8" s="18">
        <f t="shared" si="0"/>
        <v>2.9</v>
      </c>
      <c r="K8" s="3"/>
      <c r="L8" s="3"/>
    </row>
    <row r="9" spans="1:12">
      <c r="A9" s="7" t="s">
        <v>10</v>
      </c>
      <c r="B9" s="17">
        <v>49.600000000000009</v>
      </c>
      <c r="C9" s="16"/>
      <c r="D9" s="16"/>
      <c r="E9" s="16"/>
      <c r="F9" s="16"/>
      <c r="G9" s="16"/>
      <c r="H9" s="16"/>
      <c r="I9" s="16"/>
      <c r="J9" s="18">
        <f t="shared" si="0"/>
        <v>49.600000000000009</v>
      </c>
      <c r="K9" s="3"/>
      <c r="L9" s="3"/>
    </row>
    <row r="10" spans="1:12">
      <c r="A10" s="8" t="s">
        <v>37</v>
      </c>
      <c r="B10" s="19">
        <f>SUM(B2:B9)</f>
        <v>121.60000000000001</v>
      </c>
      <c r="C10" s="19">
        <f t="shared" ref="C10:I10" si="1">SUM(C2:C9)</f>
        <v>117</v>
      </c>
      <c r="D10" s="19">
        <f t="shared" si="1"/>
        <v>71</v>
      </c>
      <c r="E10" s="19">
        <f t="shared" si="1"/>
        <v>46</v>
      </c>
      <c r="F10" s="19">
        <f t="shared" si="1"/>
        <v>45.699999999999996</v>
      </c>
      <c r="G10" s="19">
        <f t="shared" si="1"/>
        <v>2.7</v>
      </c>
      <c r="H10" s="19">
        <f t="shared" si="1"/>
        <v>2.9</v>
      </c>
      <c r="I10" s="19">
        <f t="shared" si="1"/>
        <v>49.600000000000009</v>
      </c>
      <c r="J10" s="20">
        <f>SUM(B10:I10)</f>
        <v>456.5</v>
      </c>
      <c r="K10" s="3"/>
      <c r="L10" s="3"/>
    </row>
    <row r="11" spans="1:12" ht="9.9499999999999993" customHeight="1">
      <c r="A11" s="9"/>
      <c r="B11" s="12"/>
      <c r="C11" s="12"/>
      <c r="D11" s="12"/>
      <c r="E11" s="12"/>
      <c r="F11" s="12"/>
      <c r="G11" s="12"/>
      <c r="H11" s="12"/>
      <c r="I11" s="12"/>
      <c r="J11" s="12"/>
      <c r="K11" s="3"/>
      <c r="L11" s="3"/>
    </row>
    <row r="12" spans="1:12">
      <c r="A12" s="4" t="s">
        <v>53</v>
      </c>
      <c r="B12" s="13" t="s">
        <v>6</v>
      </c>
      <c r="C12" s="5" t="s">
        <v>59</v>
      </c>
      <c r="D12" s="5" t="s">
        <v>58</v>
      </c>
      <c r="E12" s="13" t="s">
        <v>7</v>
      </c>
      <c r="F12" s="13" t="s">
        <v>8</v>
      </c>
      <c r="G12" s="13" t="s">
        <v>9</v>
      </c>
      <c r="H12" s="13" t="s">
        <v>28</v>
      </c>
      <c r="I12" s="13" t="s">
        <v>10</v>
      </c>
      <c r="J12" s="14" t="s">
        <v>36</v>
      </c>
      <c r="K12" s="3"/>
      <c r="L12" s="3"/>
    </row>
    <row r="13" spans="1:12">
      <c r="A13" s="7" t="s">
        <v>6</v>
      </c>
      <c r="B13" s="16"/>
      <c r="C13" s="16">
        <v>110</v>
      </c>
      <c r="D13" s="16"/>
      <c r="E13" s="16"/>
      <c r="F13" s="16"/>
      <c r="G13" s="17">
        <v>3.1</v>
      </c>
      <c r="H13" s="17">
        <v>1.9</v>
      </c>
      <c r="I13" s="16"/>
      <c r="J13" s="18">
        <f>SUM(B13:I13)</f>
        <v>115</v>
      </c>
    </row>
    <row r="14" spans="1:12">
      <c r="A14" s="7" t="s">
        <v>59</v>
      </c>
      <c r="B14" s="16"/>
      <c r="C14" s="16"/>
      <c r="D14" s="17">
        <v>50</v>
      </c>
      <c r="E14" s="16">
        <v>14.4</v>
      </c>
      <c r="F14" s="17">
        <v>46</v>
      </c>
      <c r="G14" s="16"/>
      <c r="H14" s="16"/>
      <c r="I14" s="16"/>
      <c r="J14" s="18">
        <f t="shared" ref="J14:J20" si="2">SUM(B14:I14)</f>
        <v>110.4</v>
      </c>
    </row>
    <row r="15" spans="1:12">
      <c r="A15" s="7" t="s">
        <v>58</v>
      </c>
      <c r="B15" s="16">
        <v>69</v>
      </c>
      <c r="C15" s="16"/>
      <c r="D15" s="16"/>
      <c r="E15" s="16"/>
      <c r="F15" s="16"/>
      <c r="G15" s="16"/>
      <c r="H15" s="16"/>
      <c r="I15" s="16"/>
      <c r="J15" s="18">
        <f t="shared" si="2"/>
        <v>69</v>
      </c>
    </row>
    <row r="16" spans="1:12">
      <c r="A16" s="7" t="s">
        <v>7</v>
      </c>
      <c r="B16" s="16"/>
      <c r="C16" s="16"/>
      <c r="D16" s="16"/>
      <c r="E16" s="16"/>
      <c r="F16" s="16"/>
      <c r="G16" s="16"/>
      <c r="H16" s="17">
        <v>9.9</v>
      </c>
      <c r="I16" s="16">
        <v>4.5</v>
      </c>
      <c r="J16" s="18">
        <f t="shared" si="2"/>
        <v>14.4</v>
      </c>
    </row>
    <row r="17" spans="1:10">
      <c r="A17" s="7" t="s">
        <v>8</v>
      </c>
      <c r="B17" s="16"/>
      <c r="C17" s="16"/>
      <c r="D17" s="16"/>
      <c r="E17" s="16"/>
      <c r="F17" s="16"/>
      <c r="G17" s="16"/>
      <c r="H17" s="16"/>
      <c r="I17" s="16">
        <v>46</v>
      </c>
      <c r="J17" s="18">
        <f t="shared" si="2"/>
        <v>46</v>
      </c>
    </row>
    <row r="18" spans="1:10">
      <c r="A18" s="7" t="s">
        <v>9</v>
      </c>
      <c r="B18" s="16"/>
      <c r="C18" s="16"/>
      <c r="D18" s="16"/>
      <c r="E18" s="16"/>
      <c r="F18" s="16"/>
      <c r="G18" s="16"/>
      <c r="H18" s="16"/>
      <c r="I18" s="16">
        <v>3.1</v>
      </c>
      <c r="J18" s="18">
        <f t="shared" si="2"/>
        <v>3.1</v>
      </c>
    </row>
    <row r="19" spans="1:10">
      <c r="A19" s="7" t="s">
        <v>28</v>
      </c>
      <c r="B19" s="16"/>
      <c r="C19" s="17">
        <v>0.4</v>
      </c>
      <c r="D19" s="16">
        <v>19</v>
      </c>
      <c r="E19" s="16"/>
      <c r="F19" s="21"/>
      <c r="G19" s="16"/>
      <c r="H19" s="16"/>
      <c r="I19" s="16"/>
      <c r="J19" s="18">
        <f t="shared" si="2"/>
        <v>19.399999999999999</v>
      </c>
    </row>
    <row r="20" spans="1:10">
      <c r="A20" s="7" t="s">
        <v>10</v>
      </c>
      <c r="B20" s="16">
        <v>46</v>
      </c>
      <c r="C20" s="16"/>
      <c r="D20" s="16"/>
      <c r="E20" s="16"/>
      <c r="F20" s="16"/>
      <c r="G20" s="16"/>
      <c r="H20" s="17">
        <v>7.6</v>
      </c>
      <c r="I20" s="16"/>
      <c r="J20" s="18">
        <f t="shared" si="2"/>
        <v>53.6</v>
      </c>
    </row>
    <row r="21" spans="1:10">
      <c r="A21" s="8" t="s">
        <v>37</v>
      </c>
      <c r="B21" s="19">
        <f>SUM(B13:B20)</f>
        <v>115</v>
      </c>
      <c r="C21" s="19">
        <f t="shared" ref="C21" si="3">SUM(C13:C20)</f>
        <v>110.4</v>
      </c>
      <c r="D21" s="19">
        <f t="shared" ref="D21" si="4">SUM(D13:D20)</f>
        <v>69</v>
      </c>
      <c r="E21" s="19">
        <f t="shared" ref="E21" si="5">SUM(E13:E20)</f>
        <v>14.4</v>
      </c>
      <c r="F21" s="19">
        <f t="shared" ref="F21" si="6">SUM(F13:F20)</f>
        <v>46</v>
      </c>
      <c r="G21" s="19">
        <f t="shared" ref="G21" si="7">SUM(G13:G20)</f>
        <v>3.1</v>
      </c>
      <c r="H21" s="19">
        <f t="shared" ref="H21" si="8">SUM(H13:H20)</f>
        <v>19.399999999999999</v>
      </c>
      <c r="I21" s="19">
        <f t="shared" ref="I21" si="9">SUM(I13:I20)</f>
        <v>53.6</v>
      </c>
      <c r="J21" s="20">
        <f>SUM(B21:I21)</f>
        <v>430.9</v>
      </c>
    </row>
    <row r="22" spans="1:10" ht="9.9499999999999993" customHeight="1">
      <c r="B22" s="15"/>
      <c r="C22" s="15"/>
      <c r="D22" s="15"/>
      <c r="E22" s="15"/>
      <c r="F22" s="15"/>
      <c r="G22" s="15"/>
      <c r="H22" s="15"/>
      <c r="I22" s="15"/>
      <c r="J22" s="15"/>
    </row>
    <row r="23" spans="1:10">
      <c r="A23" s="4" t="s">
        <v>54</v>
      </c>
      <c r="B23" s="13" t="s">
        <v>6</v>
      </c>
      <c r="C23" s="5" t="s">
        <v>59</v>
      </c>
      <c r="D23" s="5" t="s">
        <v>58</v>
      </c>
      <c r="E23" s="13" t="s">
        <v>7</v>
      </c>
      <c r="F23" s="13" t="s">
        <v>8</v>
      </c>
      <c r="G23" s="13" t="s">
        <v>9</v>
      </c>
      <c r="H23" s="13" t="s">
        <v>28</v>
      </c>
      <c r="I23" s="13" t="s">
        <v>10</v>
      </c>
      <c r="J23" s="14" t="s">
        <v>36</v>
      </c>
    </row>
    <row r="24" spans="1:10">
      <c r="A24" s="7" t="s">
        <v>6</v>
      </c>
      <c r="B24" s="16"/>
      <c r="C24" s="16">
        <v>111</v>
      </c>
      <c r="D24" s="16"/>
      <c r="E24" s="16"/>
      <c r="F24" s="16"/>
      <c r="G24" s="16"/>
      <c r="H24" s="21"/>
      <c r="I24" s="16"/>
      <c r="J24" s="18">
        <f>SUM(B24:I24)</f>
        <v>111</v>
      </c>
    </row>
    <row r="25" spans="1:10">
      <c r="A25" s="7" t="s">
        <v>59</v>
      </c>
      <c r="B25" s="16"/>
      <c r="C25" s="16"/>
      <c r="D25" s="17">
        <v>65.5</v>
      </c>
      <c r="E25" s="17">
        <v>30.2</v>
      </c>
      <c r="F25" s="16">
        <v>15.3</v>
      </c>
      <c r="G25" s="16"/>
      <c r="H25" s="16"/>
      <c r="I25" s="16"/>
      <c r="J25" s="18">
        <f t="shared" ref="J25:J31" si="10">SUM(B25:I25)</f>
        <v>111</v>
      </c>
    </row>
    <row r="26" spans="1:10">
      <c r="A26" s="7" t="s">
        <v>58</v>
      </c>
      <c r="B26" s="16">
        <v>65.5</v>
      </c>
      <c r="C26" s="16"/>
      <c r="D26" s="16"/>
      <c r="E26" s="16"/>
      <c r="F26" s="16"/>
      <c r="G26" s="16"/>
      <c r="H26" s="16"/>
      <c r="I26" s="16"/>
      <c r="J26" s="18">
        <f t="shared" si="10"/>
        <v>65.5</v>
      </c>
    </row>
    <row r="27" spans="1:10">
      <c r="A27" s="7" t="s">
        <v>7</v>
      </c>
      <c r="B27" s="16"/>
      <c r="C27" s="16"/>
      <c r="D27" s="16"/>
      <c r="E27" s="16"/>
      <c r="F27" s="16">
        <v>30.2</v>
      </c>
      <c r="G27" s="16"/>
      <c r="H27" s="16"/>
      <c r="I27" s="16"/>
      <c r="J27" s="18">
        <f t="shared" si="10"/>
        <v>30.2</v>
      </c>
    </row>
    <row r="28" spans="1:10">
      <c r="A28" s="7" t="s">
        <v>8</v>
      </c>
      <c r="B28" s="16"/>
      <c r="C28" s="16"/>
      <c r="D28" s="16"/>
      <c r="E28" s="16"/>
      <c r="F28" s="16"/>
      <c r="G28" s="16"/>
      <c r="H28" s="16"/>
      <c r="I28" s="16">
        <v>45.5</v>
      </c>
      <c r="J28" s="18">
        <f t="shared" si="10"/>
        <v>45.5</v>
      </c>
    </row>
    <row r="29" spans="1:10">
      <c r="A29" s="7" t="s">
        <v>9</v>
      </c>
      <c r="B29" s="16"/>
      <c r="C29" s="16"/>
      <c r="D29" s="16"/>
      <c r="E29" s="16"/>
      <c r="F29" s="16"/>
      <c r="G29" s="16"/>
      <c r="H29" s="16"/>
      <c r="I29" s="16"/>
      <c r="J29" s="18">
        <f t="shared" si="10"/>
        <v>0</v>
      </c>
    </row>
    <row r="30" spans="1:10">
      <c r="A30" s="7" t="s">
        <v>28</v>
      </c>
      <c r="B30" s="16"/>
      <c r="C30" s="22"/>
      <c r="D30" s="16"/>
      <c r="E30" s="16"/>
      <c r="F30" s="21"/>
      <c r="G30" s="16"/>
      <c r="H30" s="16"/>
      <c r="I30" s="16"/>
      <c r="J30" s="18">
        <f t="shared" si="10"/>
        <v>0</v>
      </c>
    </row>
    <row r="31" spans="1:10">
      <c r="A31" s="7" t="s">
        <v>10</v>
      </c>
      <c r="B31" s="16">
        <v>45.5</v>
      </c>
      <c r="C31" s="16"/>
      <c r="D31" s="16"/>
      <c r="E31" s="16"/>
      <c r="F31" s="16"/>
      <c r="G31" s="16"/>
      <c r="H31" s="16"/>
      <c r="I31" s="16"/>
      <c r="J31" s="18">
        <f t="shared" si="10"/>
        <v>45.5</v>
      </c>
    </row>
    <row r="32" spans="1:10">
      <c r="A32" s="8" t="s">
        <v>37</v>
      </c>
      <c r="B32" s="19">
        <f>SUM(B24:B31)</f>
        <v>111</v>
      </c>
      <c r="C32" s="19">
        <f t="shared" ref="C32" si="11">SUM(C24:C31)</f>
        <v>111</v>
      </c>
      <c r="D32" s="19">
        <f t="shared" ref="D32" si="12">SUM(D24:D31)</f>
        <v>65.5</v>
      </c>
      <c r="E32" s="19">
        <f t="shared" ref="E32" si="13">SUM(E24:E31)</f>
        <v>30.2</v>
      </c>
      <c r="F32" s="19">
        <f t="shared" ref="F32" si="14">SUM(F24:F31)</f>
        <v>45.5</v>
      </c>
      <c r="G32" s="19">
        <f t="shared" ref="G32" si="15">SUM(G24:G31)</f>
        <v>0</v>
      </c>
      <c r="H32" s="19">
        <f t="shared" ref="H32" si="16">SUM(H24:H31)</f>
        <v>0</v>
      </c>
      <c r="I32" s="19">
        <f t="shared" ref="I32" si="17">SUM(I24:I31)</f>
        <v>45.5</v>
      </c>
      <c r="J32" s="20">
        <f>SUM(B32:I32)</f>
        <v>408.7</v>
      </c>
    </row>
    <row r="33" spans="1:10" ht="9.9499999999999993" customHeight="1">
      <c r="B33" s="15"/>
      <c r="C33" s="15"/>
      <c r="D33" s="15"/>
      <c r="E33" s="15"/>
      <c r="F33" s="15"/>
      <c r="G33" s="15"/>
      <c r="H33" s="15"/>
      <c r="I33" s="15"/>
      <c r="J33" s="15"/>
    </row>
    <row r="34" spans="1:10">
      <c r="A34" s="4" t="s">
        <v>55</v>
      </c>
      <c r="B34" s="13" t="s">
        <v>6</v>
      </c>
      <c r="C34" s="5" t="s">
        <v>59</v>
      </c>
      <c r="D34" s="5" t="s">
        <v>58</v>
      </c>
      <c r="E34" s="13" t="s">
        <v>7</v>
      </c>
      <c r="F34" s="13" t="s">
        <v>8</v>
      </c>
      <c r="G34" s="13" t="s">
        <v>9</v>
      </c>
      <c r="H34" s="13" t="s">
        <v>28</v>
      </c>
      <c r="I34" s="13" t="s">
        <v>10</v>
      </c>
      <c r="J34" s="14" t="s">
        <v>36</v>
      </c>
    </row>
    <row r="35" spans="1:10">
      <c r="A35" s="7" t="s">
        <v>6</v>
      </c>
      <c r="B35" s="16"/>
      <c r="C35" s="16">
        <v>110</v>
      </c>
      <c r="D35" s="16"/>
      <c r="E35" s="16"/>
      <c r="F35" s="16"/>
      <c r="G35" s="16"/>
      <c r="H35" s="21"/>
      <c r="I35" s="16"/>
      <c r="J35" s="18">
        <f>SUM(B35:I35)</f>
        <v>110</v>
      </c>
    </row>
    <row r="36" spans="1:10">
      <c r="A36" s="7" t="s">
        <v>59</v>
      </c>
      <c r="B36" s="16"/>
      <c r="C36" s="16"/>
      <c r="D36" s="17">
        <v>65.2</v>
      </c>
      <c r="E36" s="17">
        <v>2.2000000000000002</v>
      </c>
      <c r="F36" s="16">
        <v>42.6</v>
      </c>
      <c r="G36" s="16"/>
      <c r="H36" s="16"/>
      <c r="I36" s="16"/>
      <c r="J36" s="18">
        <f t="shared" ref="J36:J42" si="18">SUM(B36:I36)</f>
        <v>110</v>
      </c>
    </row>
    <row r="37" spans="1:10">
      <c r="A37" s="7" t="s">
        <v>58</v>
      </c>
      <c r="B37" s="16">
        <v>65.2</v>
      </c>
      <c r="C37" s="16"/>
      <c r="D37" s="16"/>
      <c r="E37" s="16"/>
      <c r="F37" s="16"/>
      <c r="G37" s="16"/>
      <c r="H37" s="16"/>
      <c r="I37" s="16"/>
      <c r="J37" s="18">
        <f t="shared" si="18"/>
        <v>65.2</v>
      </c>
    </row>
    <row r="38" spans="1:10">
      <c r="A38" s="7" t="s">
        <v>7</v>
      </c>
      <c r="B38" s="16"/>
      <c r="C38" s="16"/>
      <c r="D38" s="16"/>
      <c r="E38" s="16"/>
      <c r="F38" s="16"/>
      <c r="G38" s="16"/>
      <c r="H38" s="16"/>
      <c r="I38" s="16">
        <v>2.2000000000000002</v>
      </c>
      <c r="J38" s="18">
        <f t="shared" si="18"/>
        <v>2.2000000000000002</v>
      </c>
    </row>
    <row r="39" spans="1:10">
      <c r="A39" s="7" t="s">
        <v>8</v>
      </c>
      <c r="B39" s="16"/>
      <c r="C39" s="16"/>
      <c r="D39" s="16"/>
      <c r="E39" s="16"/>
      <c r="F39" s="16"/>
      <c r="G39" s="16"/>
      <c r="H39" s="16"/>
      <c r="I39" s="16">
        <v>42.6</v>
      </c>
      <c r="J39" s="18">
        <f t="shared" si="18"/>
        <v>42.6</v>
      </c>
    </row>
    <row r="40" spans="1:10">
      <c r="A40" s="7" t="s">
        <v>9</v>
      </c>
      <c r="B40" s="16"/>
      <c r="C40" s="16"/>
      <c r="D40" s="16"/>
      <c r="E40" s="16"/>
      <c r="F40" s="16"/>
      <c r="G40" s="16"/>
      <c r="H40" s="16"/>
      <c r="I40" s="16"/>
      <c r="J40" s="18">
        <f t="shared" si="18"/>
        <v>0</v>
      </c>
    </row>
    <row r="41" spans="1:10">
      <c r="A41" s="7" t="s">
        <v>28</v>
      </c>
      <c r="B41" s="16"/>
      <c r="C41" s="22"/>
      <c r="D41" s="16"/>
      <c r="E41" s="16"/>
      <c r="F41" s="21"/>
      <c r="G41" s="16"/>
      <c r="H41" s="16"/>
      <c r="I41" s="16"/>
      <c r="J41" s="18">
        <f t="shared" si="18"/>
        <v>0</v>
      </c>
    </row>
    <row r="42" spans="1:10">
      <c r="A42" s="7" t="s">
        <v>10</v>
      </c>
      <c r="B42" s="16">
        <v>44.800000000000004</v>
      </c>
      <c r="C42" s="16"/>
      <c r="D42" s="16"/>
      <c r="E42" s="16"/>
      <c r="F42" s="16"/>
      <c r="G42" s="16"/>
      <c r="H42" s="16"/>
      <c r="I42" s="16"/>
      <c r="J42" s="18">
        <f t="shared" si="18"/>
        <v>44.800000000000004</v>
      </c>
    </row>
    <row r="43" spans="1:10">
      <c r="A43" s="8" t="s">
        <v>37</v>
      </c>
      <c r="B43" s="19">
        <f>SUM(B35:B42)</f>
        <v>110</v>
      </c>
      <c r="C43" s="19">
        <f t="shared" ref="C43" si="19">SUM(C35:C42)</f>
        <v>110</v>
      </c>
      <c r="D43" s="19">
        <f t="shared" ref="D43" si="20">SUM(D35:D42)</f>
        <v>65.2</v>
      </c>
      <c r="E43" s="19">
        <f t="shared" ref="E43" si="21">SUM(E35:E42)</f>
        <v>2.2000000000000002</v>
      </c>
      <c r="F43" s="19">
        <f t="shared" ref="F43" si="22">SUM(F35:F42)</f>
        <v>42.6</v>
      </c>
      <c r="G43" s="19">
        <f t="shared" ref="G43" si="23">SUM(G35:G42)</f>
        <v>0</v>
      </c>
      <c r="H43" s="19">
        <f t="shared" ref="H43" si="24">SUM(H35:H42)</f>
        <v>0</v>
      </c>
      <c r="I43" s="19">
        <f t="shared" ref="I43" si="25">SUM(I35:I42)</f>
        <v>44.800000000000004</v>
      </c>
      <c r="J43" s="20">
        <f>SUM(B43:I43)</f>
        <v>374.8</v>
      </c>
    </row>
    <row r="44" spans="1:10" ht="9.9499999999999993" customHeight="1">
      <c r="A44"/>
      <c r="B44" s="15"/>
      <c r="C44" s="15"/>
      <c r="D44" s="15"/>
      <c r="E44" s="15"/>
      <c r="F44" s="15"/>
      <c r="G44" s="15"/>
      <c r="H44" s="15"/>
      <c r="I44" s="15"/>
      <c r="J44" s="15"/>
    </row>
    <row r="45" spans="1:10">
      <c r="A45" s="4" t="s">
        <v>56</v>
      </c>
      <c r="B45" s="13" t="s">
        <v>6</v>
      </c>
      <c r="C45" s="5" t="s">
        <v>59</v>
      </c>
      <c r="D45" s="5" t="s">
        <v>58</v>
      </c>
      <c r="E45" s="13" t="s">
        <v>7</v>
      </c>
      <c r="F45" s="13" t="s">
        <v>8</v>
      </c>
      <c r="G45" s="13" t="s">
        <v>9</v>
      </c>
      <c r="H45" s="13" t="s">
        <v>28</v>
      </c>
      <c r="I45" s="13" t="s">
        <v>10</v>
      </c>
      <c r="J45" s="14" t="s">
        <v>36</v>
      </c>
    </row>
    <row r="46" spans="1:10">
      <c r="A46" s="7" t="s">
        <v>6</v>
      </c>
      <c r="B46" s="16"/>
      <c r="C46" s="16">
        <v>113</v>
      </c>
      <c r="D46" s="16"/>
      <c r="E46" s="16"/>
      <c r="F46" s="16"/>
      <c r="G46" s="16"/>
      <c r="H46" s="21"/>
      <c r="I46" s="16"/>
      <c r="J46" s="18">
        <f>SUM(B46:I46)</f>
        <v>113</v>
      </c>
    </row>
    <row r="47" spans="1:10">
      <c r="A47" s="7" t="s">
        <v>59</v>
      </c>
      <c r="B47" s="16"/>
      <c r="C47" s="16"/>
      <c r="D47" s="17">
        <v>73</v>
      </c>
      <c r="F47" s="16">
        <v>40</v>
      </c>
      <c r="G47" s="16"/>
      <c r="H47" s="16"/>
      <c r="I47" s="16"/>
      <c r="J47" s="18">
        <f t="shared" ref="J47:J53" si="26">SUM(B47:I47)</f>
        <v>113</v>
      </c>
    </row>
    <row r="48" spans="1:10">
      <c r="A48" s="7" t="s">
        <v>58</v>
      </c>
      <c r="B48" s="16">
        <v>73</v>
      </c>
      <c r="C48" s="16"/>
      <c r="D48" s="16"/>
      <c r="E48" s="16"/>
      <c r="F48" s="16"/>
      <c r="G48" s="16"/>
      <c r="H48" s="16"/>
      <c r="I48" s="16"/>
      <c r="J48" s="18">
        <f t="shared" si="26"/>
        <v>73</v>
      </c>
    </row>
    <row r="49" spans="1:10">
      <c r="A49" s="7" t="s">
        <v>7</v>
      </c>
      <c r="B49" s="16"/>
      <c r="C49" s="16"/>
      <c r="D49" s="16"/>
      <c r="E49" s="16"/>
      <c r="F49" s="16"/>
      <c r="G49" s="16"/>
      <c r="H49" s="16"/>
      <c r="I49" s="16"/>
      <c r="J49" s="18">
        <f t="shared" si="26"/>
        <v>0</v>
      </c>
    </row>
    <row r="50" spans="1:10">
      <c r="A50" s="7" t="s">
        <v>8</v>
      </c>
      <c r="B50" s="16"/>
      <c r="C50" s="16"/>
      <c r="D50" s="16"/>
      <c r="E50" s="16"/>
      <c r="F50" s="16"/>
      <c r="G50" s="16"/>
      <c r="H50" s="16"/>
      <c r="I50" s="16">
        <v>40</v>
      </c>
      <c r="J50" s="18">
        <f t="shared" si="26"/>
        <v>40</v>
      </c>
    </row>
    <row r="51" spans="1:10">
      <c r="A51" s="7" t="s">
        <v>9</v>
      </c>
      <c r="B51" s="16"/>
      <c r="C51" s="16"/>
      <c r="D51" s="16"/>
      <c r="E51" s="16"/>
      <c r="F51" s="16"/>
      <c r="G51" s="16"/>
      <c r="H51" s="16"/>
      <c r="I51" s="16"/>
      <c r="J51" s="18">
        <f t="shared" si="26"/>
        <v>0</v>
      </c>
    </row>
    <row r="52" spans="1:10">
      <c r="A52" s="7" t="s">
        <v>28</v>
      </c>
      <c r="B52" s="16"/>
      <c r="C52" s="22"/>
      <c r="D52" s="16"/>
      <c r="E52" s="16"/>
      <c r="F52" s="21"/>
      <c r="G52" s="16"/>
      <c r="H52" s="16"/>
      <c r="I52" s="16"/>
      <c r="J52" s="18">
        <f t="shared" si="26"/>
        <v>0</v>
      </c>
    </row>
    <row r="53" spans="1:10">
      <c r="A53" s="7" t="s">
        <v>10</v>
      </c>
      <c r="B53" s="16">
        <v>40</v>
      </c>
      <c r="C53" s="16"/>
      <c r="D53" s="16"/>
      <c r="E53" s="16"/>
      <c r="F53" s="16"/>
      <c r="G53" s="16"/>
      <c r="H53" s="16"/>
      <c r="I53" s="16"/>
      <c r="J53" s="18">
        <f t="shared" si="26"/>
        <v>40</v>
      </c>
    </row>
    <row r="54" spans="1:10">
      <c r="A54" s="8" t="s">
        <v>37</v>
      </c>
      <c r="B54" s="19">
        <f>SUM(B46:B53)</f>
        <v>113</v>
      </c>
      <c r="C54" s="19">
        <f t="shared" ref="C54" si="27">SUM(C46:C53)</f>
        <v>113</v>
      </c>
      <c r="D54" s="19">
        <f t="shared" ref="D54" si="28">SUM(D46:D53)</f>
        <v>73</v>
      </c>
      <c r="E54" s="19">
        <f t="shared" ref="E54" si="29">SUM(E46:E53)</f>
        <v>0</v>
      </c>
      <c r="F54" s="19">
        <f t="shared" ref="F54" si="30">SUM(F46:F53)</f>
        <v>40</v>
      </c>
      <c r="G54" s="19">
        <f t="shared" ref="G54" si="31">SUM(G46:G53)</f>
        <v>0</v>
      </c>
      <c r="H54" s="19">
        <f t="shared" ref="H54" si="32">SUM(H46:H53)</f>
        <v>0</v>
      </c>
      <c r="I54" s="19">
        <f t="shared" ref="I54" si="33">SUM(I46:I53)</f>
        <v>40</v>
      </c>
      <c r="J54" s="20">
        <f>SUM(B54:I54)</f>
        <v>379</v>
      </c>
    </row>
    <row r="55" spans="1:10" ht="9.9499999999999993" customHeight="1">
      <c r="A55"/>
      <c r="B55" s="15"/>
      <c r="C55" s="15"/>
      <c r="D55" s="15"/>
      <c r="E55" s="15"/>
      <c r="F55" s="15"/>
      <c r="G55" s="15"/>
      <c r="H55" s="15"/>
      <c r="I55" s="15"/>
      <c r="J55" s="15"/>
    </row>
    <row r="56" spans="1:10">
      <c r="A56" s="4" t="s">
        <v>57</v>
      </c>
      <c r="B56" s="13" t="s">
        <v>6</v>
      </c>
      <c r="C56" s="5" t="s">
        <v>59</v>
      </c>
      <c r="D56" s="5" t="s">
        <v>58</v>
      </c>
      <c r="E56" s="13" t="s">
        <v>7</v>
      </c>
      <c r="F56" s="13" t="s">
        <v>8</v>
      </c>
      <c r="G56" s="13" t="s">
        <v>9</v>
      </c>
      <c r="H56" s="13" t="s">
        <v>28</v>
      </c>
      <c r="I56" s="13" t="s">
        <v>10</v>
      </c>
      <c r="J56" s="14" t="s">
        <v>36</v>
      </c>
    </row>
    <row r="57" spans="1:10">
      <c r="A57" s="7" t="s">
        <v>6</v>
      </c>
      <c r="B57" s="16"/>
      <c r="C57" s="16">
        <v>114.1</v>
      </c>
      <c r="D57" s="16"/>
      <c r="E57" s="16"/>
      <c r="F57" s="16"/>
      <c r="G57" s="16"/>
      <c r="H57" s="21"/>
      <c r="I57" s="16"/>
      <c r="J57" s="18">
        <f>SUM(B57:I57)</f>
        <v>114.1</v>
      </c>
    </row>
    <row r="58" spans="1:10">
      <c r="A58" s="7" t="s">
        <v>59</v>
      </c>
      <c r="B58" s="16"/>
      <c r="C58" s="16"/>
      <c r="D58" s="17">
        <v>70.7</v>
      </c>
      <c r="E58" s="17">
        <v>25.302199999999992</v>
      </c>
      <c r="F58" s="17">
        <v>18.097799999999999</v>
      </c>
      <c r="G58" s="16"/>
      <c r="H58" s="16"/>
      <c r="I58" s="16"/>
      <c r="J58" s="18">
        <f t="shared" ref="J58:J64" si="34">SUM(B58:I58)</f>
        <v>114.1</v>
      </c>
    </row>
    <row r="59" spans="1:10">
      <c r="A59" s="7" t="s">
        <v>58</v>
      </c>
      <c r="B59" s="16">
        <v>70.7</v>
      </c>
      <c r="C59" s="16"/>
      <c r="D59" s="16"/>
      <c r="E59" s="16"/>
      <c r="F59" s="16"/>
      <c r="G59" s="16"/>
      <c r="H59" s="16"/>
      <c r="I59" s="16"/>
      <c r="J59" s="18">
        <f t="shared" si="34"/>
        <v>70.7</v>
      </c>
    </row>
    <row r="60" spans="1:10">
      <c r="A60" s="7" t="s">
        <v>7</v>
      </c>
      <c r="B60" s="16"/>
      <c r="C60" s="16"/>
      <c r="D60" s="16"/>
      <c r="E60" s="16"/>
      <c r="F60" s="23">
        <v>25.302199999999992</v>
      </c>
      <c r="G60" s="16"/>
      <c r="H60" s="16"/>
      <c r="I60" s="16"/>
      <c r="J60" s="18">
        <f t="shared" si="34"/>
        <v>25.302199999999992</v>
      </c>
    </row>
    <row r="61" spans="1:10">
      <c r="A61" s="7" t="s">
        <v>8</v>
      </c>
      <c r="B61" s="16"/>
      <c r="C61" s="16"/>
      <c r="D61" s="16"/>
      <c r="E61" s="16"/>
      <c r="F61" s="16"/>
      <c r="G61" s="16"/>
      <c r="H61" s="16"/>
      <c r="I61" s="16">
        <v>43.4</v>
      </c>
      <c r="J61" s="18">
        <f t="shared" si="34"/>
        <v>43.4</v>
      </c>
    </row>
    <row r="62" spans="1:10">
      <c r="A62" s="7" t="s">
        <v>9</v>
      </c>
      <c r="B62" s="16"/>
      <c r="C62" s="16"/>
      <c r="D62" s="16"/>
      <c r="E62" s="16"/>
      <c r="F62" s="16"/>
      <c r="G62" s="16"/>
      <c r="H62" s="16"/>
      <c r="I62" s="16"/>
      <c r="J62" s="18">
        <f t="shared" si="34"/>
        <v>0</v>
      </c>
    </row>
    <row r="63" spans="1:10">
      <c r="A63" s="7" t="s">
        <v>28</v>
      </c>
      <c r="B63" s="16"/>
      <c r="C63" s="22"/>
      <c r="D63" s="16"/>
      <c r="E63" s="16"/>
      <c r="F63" s="21"/>
      <c r="G63" s="16"/>
      <c r="H63" s="16"/>
      <c r="I63" s="16"/>
      <c r="J63" s="18">
        <f t="shared" si="34"/>
        <v>0</v>
      </c>
    </row>
    <row r="64" spans="1:10">
      <c r="A64" s="7" t="s">
        <v>10</v>
      </c>
      <c r="B64" s="17">
        <v>43.4</v>
      </c>
      <c r="C64" s="16"/>
      <c r="D64" s="16"/>
      <c r="E64" s="16"/>
      <c r="F64" s="16"/>
      <c r="G64" s="16"/>
      <c r="H64" s="16"/>
      <c r="I64" s="16"/>
      <c r="J64" s="18">
        <f t="shared" si="34"/>
        <v>43.4</v>
      </c>
    </row>
    <row r="65" spans="1:10">
      <c r="A65" s="8" t="s">
        <v>37</v>
      </c>
      <c r="B65" s="19">
        <f>SUM(B57:B64)</f>
        <v>114.1</v>
      </c>
      <c r="C65" s="19">
        <f t="shared" ref="C65" si="35">SUM(C57:C64)</f>
        <v>114.1</v>
      </c>
      <c r="D65" s="19">
        <f t="shared" ref="D65" si="36">SUM(D57:D64)</f>
        <v>70.7</v>
      </c>
      <c r="E65" s="19">
        <f t="shared" ref="E65" si="37">SUM(E57:E64)</f>
        <v>25.302199999999992</v>
      </c>
      <c r="F65" s="19">
        <f t="shared" ref="F65" si="38">SUM(F57:F64)</f>
        <v>43.399999999999991</v>
      </c>
      <c r="G65" s="19">
        <f t="shared" ref="G65" si="39">SUM(G57:G64)</f>
        <v>0</v>
      </c>
      <c r="H65" s="19">
        <f t="shared" ref="H65" si="40">SUM(H57:H64)</f>
        <v>0</v>
      </c>
      <c r="I65" s="19">
        <f t="shared" ref="I65" si="41">SUM(I57:I64)</f>
        <v>43.4</v>
      </c>
      <c r="J65" s="20">
        <f>SUM(B65:I65)</f>
        <v>411.0021999999999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defaultColWidth="11" defaultRowHeight="15.75"/>
  <sheetData>
    <row r="1" spans="1:4" ht="20.25">
      <c r="A1" s="1" t="s">
        <v>38</v>
      </c>
    </row>
    <row r="2" spans="1:4" ht="20.25">
      <c r="A2" s="1" t="s">
        <v>39</v>
      </c>
    </row>
    <row r="3" spans="1:4" ht="20.25">
      <c r="A3" s="1" t="s">
        <v>40</v>
      </c>
    </row>
    <row r="4" spans="1:4" ht="20.25">
      <c r="A4" s="1" t="s">
        <v>41</v>
      </c>
    </row>
    <row r="5" spans="1:4" ht="21">
      <c r="D5" s="2" t="s">
        <v>42</v>
      </c>
    </row>
    <row r="6" spans="1:4" ht="20.25">
      <c r="A6" s="1" t="s">
        <v>43</v>
      </c>
    </row>
    <row r="7" spans="1:4" ht="20.25">
      <c r="A7" s="1" t="s">
        <v>44</v>
      </c>
    </row>
    <row r="8" spans="1:4" ht="20.25">
      <c r="A8" s="1" t="s">
        <v>45</v>
      </c>
    </row>
  </sheetData>
  <hyperlinks>
    <hyperlink ref="D5" r:id="rId1" xr:uid="{00000000-0004-0000-0200-00000000000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5b66c34-d3f7-4b74-a2f5-5e46d77d2b05}" enabled="1" method="Privileged" siteId="{1e586649-7317-42fb-8949-66923d34ba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Network matrices</vt:lpstr>
      <vt:lpstr>Sheet1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 Mo</cp:lastModifiedBy>
  <dcterms:modified xsi:type="dcterms:W3CDTF">2026-08-04T10:23:13Z</dcterms:modified>
</cp:coreProperties>
</file>